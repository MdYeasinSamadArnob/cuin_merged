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02\EXCELCNV\57677661-b9a8-470e-87d3-38ba5a636b05\"/>
    </mc:Choice>
  </mc:AlternateContent>
  <xr:revisionPtr revIDLastSave="0" documentId="8_{C6BA3288-6E26-402F-A4D4-62FF72A06C6A}" xr6:coauthVersionLast="47" xr6:coauthVersionMax="47" xr10:uidLastSave="{00000000-0000-0000-0000-000000000000}"/>
  <bookViews>
    <workbookView xWindow="-60" yWindow="-60" windowWidth="15480" windowHeight="11640" xr2:uid="{65D0F307-261E-4FE4-A0A9-F0C7551EFC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K2" i="1"/>
  <c r="T2" i="1"/>
  <c r="U2" i="1"/>
  <c r="A3" i="1"/>
  <c r="E3" i="1"/>
  <c r="T3" i="1"/>
  <c r="U3" i="1"/>
  <c r="A4" i="1"/>
  <c r="E4" i="1"/>
  <c r="T4" i="1"/>
  <c r="A5" i="1"/>
  <c r="E5" i="1"/>
  <c r="T5" i="1"/>
  <c r="A6" i="1"/>
  <c r="T6" i="1"/>
  <c r="U6" i="1"/>
  <c r="A7" i="1"/>
  <c r="E7" i="1"/>
  <c r="K7" i="1"/>
  <c r="L7" i="1"/>
  <c r="T7" i="1"/>
  <c r="U7" i="1"/>
  <c r="A8" i="1"/>
  <c r="T8" i="1"/>
  <c r="U8" i="1"/>
  <c r="A9" i="1"/>
  <c r="T9" i="1"/>
  <c r="U9" i="1"/>
  <c r="A10" i="1"/>
  <c r="T10" i="1"/>
  <c r="U10" i="1"/>
  <c r="A11" i="1"/>
  <c r="T11" i="1"/>
  <c r="U11" i="1"/>
  <c r="A12" i="1"/>
  <c r="T12" i="1"/>
  <c r="U12" i="1"/>
  <c r="A13" i="1"/>
  <c r="T13" i="1"/>
  <c r="U13" i="1"/>
  <c r="A14" i="1"/>
  <c r="T14" i="1"/>
  <c r="U14" i="1"/>
  <c r="A15" i="1"/>
  <c r="T15" i="1"/>
  <c r="U15" i="1"/>
  <c r="A16" i="1"/>
  <c r="T16" i="1"/>
  <c r="U16" i="1"/>
  <c r="A17" i="1"/>
  <c r="T17" i="1"/>
  <c r="U17" i="1"/>
  <c r="A18" i="1"/>
  <c r="T18" i="1"/>
  <c r="U18" i="1"/>
  <c r="A19" i="1"/>
  <c r="T19" i="1"/>
  <c r="U19" i="1"/>
  <c r="A20" i="1"/>
  <c r="T20" i="1"/>
  <c r="U20" i="1"/>
  <c r="A21" i="1"/>
  <c r="T21" i="1"/>
  <c r="U21" i="1"/>
  <c r="A22" i="1"/>
  <c r="T22" i="1"/>
  <c r="U22" i="1"/>
  <c r="A23" i="1"/>
  <c r="T23" i="1"/>
  <c r="U23" i="1"/>
  <c r="A24" i="1"/>
  <c r="T24" i="1"/>
  <c r="U24" i="1"/>
  <c r="A25" i="1"/>
  <c r="T25" i="1"/>
  <c r="U25" i="1"/>
  <c r="A26" i="1"/>
  <c r="T26" i="1"/>
  <c r="U26" i="1"/>
  <c r="A27" i="1"/>
  <c r="T27" i="1"/>
  <c r="U27" i="1"/>
  <c r="A28" i="1"/>
  <c r="T28" i="1"/>
  <c r="U28" i="1"/>
  <c r="A29" i="1"/>
  <c r="T29" i="1"/>
  <c r="U29" i="1"/>
  <c r="A30" i="1"/>
  <c r="T30" i="1"/>
  <c r="U30" i="1"/>
  <c r="A31" i="1"/>
  <c r="T31" i="1"/>
  <c r="U31" i="1"/>
  <c r="A32" i="1"/>
  <c r="T32" i="1"/>
  <c r="U32" i="1"/>
  <c r="A33" i="1"/>
  <c r="T33" i="1"/>
  <c r="U33" i="1"/>
  <c r="A34" i="1"/>
  <c r="T34" i="1"/>
  <c r="U34" i="1"/>
  <c r="A35" i="1"/>
  <c r="T35" i="1"/>
  <c r="U35" i="1"/>
  <c r="A36" i="1"/>
  <c r="T36" i="1"/>
  <c r="U36" i="1"/>
  <c r="A37" i="1"/>
  <c r="T37" i="1"/>
  <c r="U37" i="1"/>
  <c r="A38" i="1"/>
  <c r="T38" i="1"/>
  <c r="U38" i="1"/>
  <c r="A39" i="1"/>
  <c r="T39" i="1"/>
  <c r="U39" i="1"/>
  <c r="A40" i="1"/>
  <c r="T40" i="1"/>
  <c r="U40" i="1"/>
  <c r="A41" i="1"/>
  <c r="T41" i="1"/>
  <c r="U41" i="1"/>
  <c r="A42" i="1"/>
  <c r="T42" i="1"/>
  <c r="U42" i="1"/>
  <c r="A43" i="1"/>
  <c r="T43" i="1"/>
  <c r="U43" i="1"/>
  <c r="A44" i="1"/>
  <c r="T44" i="1"/>
  <c r="U44" i="1"/>
  <c r="A45" i="1"/>
  <c r="T45" i="1"/>
  <c r="U45" i="1"/>
  <c r="A46" i="1"/>
  <c r="T46" i="1"/>
  <c r="U46" i="1"/>
  <c r="A47" i="1"/>
  <c r="T47" i="1"/>
  <c r="U47" i="1"/>
  <c r="A48" i="1"/>
  <c r="T48" i="1"/>
  <c r="U48" i="1"/>
  <c r="A49" i="1"/>
  <c r="T49" i="1"/>
  <c r="U49" i="1"/>
  <c r="A50" i="1"/>
  <c r="T50" i="1"/>
  <c r="U50" i="1"/>
  <c r="A51" i="1"/>
  <c r="T51" i="1"/>
  <c r="U51" i="1"/>
  <c r="A52" i="1"/>
  <c r="T52" i="1"/>
  <c r="U52" i="1"/>
  <c r="A53" i="1"/>
  <c r="T53" i="1"/>
  <c r="U53" i="1"/>
  <c r="A54" i="1"/>
  <c r="T54" i="1"/>
  <c r="U54" i="1"/>
  <c r="A55" i="1"/>
  <c r="T55" i="1"/>
  <c r="U55" i="1"/>
  <c r="A56" i="1"/>
  <c r="T56" i="1"/>
  <c r="U56" i="1"/>
  <c r="A57" i="1"/>
  <c r="T57" i="1"/>
  <c r="U57" i="1"/>
  <c r="A58" i="1"/>
  <c r="E58" i="1"/>
  <c r="K58" i="1"/>
  <c r="L58" i="1"/>
  <c r="M58" i="1"/>
  <c r="T58" i="1"/>
  <c r="U58" i="1"/>
  <c r="A59" i="1"/>
  <c r="K59" i="1"/>
  <c r="T59" i="1"/>
  <c r="U59" i="1"/>
  <c r="A60" i="1"/>
  <c r="K60" i="1"/>
  <c r="T60" i="1"/>
  <c r="U60" i="1"/>
  <c r="A61" i="1"/>
  <c r="T61" i="1"/>
  <c r="U61" i="1"/>
  <c r="A62" i="1"/>
  <c r="T62" i="1"/>
  <c r="U62" i="1"/>
  <c r="A63" i="1"/>
  <c r="T63" i="1"/>
  <c r="U63" i="1"/>
  <c r="A64" i="1"/>
  <c r="T64" i="1"/>
  <c r="U64" i="1"/>
  <c r="A65" i="1"/>
  <c r="K65" i="1"/>
  <c r="T65" i="1"/>
  <c r="A66" i="1"/>
  <c r="T66" i="1"/>
  <c r="A67" i="1"/>
  <c r="T67" i="1"/>
  <c r="A68" i="1"/>
  <c r="T68" i="1"/>
  <c r="A69" i="1"/>
  <c r="T69" i="1"/>
  <c r="A70" i="1"/>
  <c r="T70" i="1"/>
  <c r="A71" i="1"/>
  <c r="T71" i="1"/>
  <c r="A72" i="1"/>
  <c r="T72" i="1"/>
  <c r="A73" i="1"/>
  <c r="T73" i="1"/>
  <c r="A74" i="1"/>
  <c r="T74" i="1"/>
  <c r="A75" i="1"/>
  <c r="K75" i="1"/>
  <c r="T75" i="1"/>
  <c r="A76" i="1"/>
  <c r="T76" i="1"/>
  <c r="A77" i="1"/>
  <c r="T77" i="1"/>
  <c r="A78" i="1"/>
  <c r="T78" i="1"/>
  <c r="A79" i="1"/>
  <c r="T79" i="1"/>
  <c r="A80" i="1"/>
  <c r="T80" i="1"/>
  <c r="A81" i="1"/>
  <c r="T81" i="1"/>
  <c r="A82" i="1"/>
  <c r="T82" i="1"/>
  <c r="A83" i="1"/>
  <c r="T83" i="1"/>
  <c r="A84" i="1"/>
  <c r="T84" i="1"/>
  <c r="A85" i="1"/>
  <c r="T85" i="1"/>
  <c r="U85" i="1"/>
  <c r="A86" i="1"/>
  <c r="T86" i="1"/>
  <c r="U86" i="1"/>
  <c r="A87" i="1"/>
  <c r="T87" i="1"/>
  <c r="U87" i="1"/>
  <c r="A88" i="1"/>
  <c r="T88" i="1"/>
  <c r="U88" i="1"/>
  <c r="A89" i="1"/>
  <c r="T89" i="1"/>
  <c r="U89" i="1"/>
  <c r="A90" i="1"/>
  <c r="T90" i="1"/>
  <c r="U90" i="1"/>
  <c r="A91" i="1"/>
  <c r="T91" i="1"/>
  <c r="U91" i="1"/>
  <c r="A92" i="1"/>
  <c r="T92" i="1"/>
  <c r="U92" i="1"/>
  <c r="A93" i="1"/>
  <c r="T93" i="1"/>
  <c r="U93" i="1"/>
  <c r="A94" i="1"/>
  <c r="T94" i="1"/>
  <c r="U94" i="1"/>
  <c r="A95" i="1"/>
  <c r="T95" i="1"/>
  <c r="U95" i="1"/>
  <c r="A96" i="1"/>
  <c r="T96" i="1"/>
  <c r="U96" i="1"/>
  <c r="A97" i="1"/>
  <c r="T97" i="1"/>
  <c r="U97" i="1"/>
  <c r="A98" i="1"/>
  <c r="T98" i="1"/>
  <c r="U98" i="1"/>
  <c r="A99" i="1"/>
  <c r="T99" i="1"/>
  <c r="U99" i="1"/>
  <c r="A100" i="1"/>
  <c r="T100" i="1"/>
  <c r="U100" i="1"/>
  <c r="A101" i="1"/>
  <c r="E101" i="1"/>
  <c r="K101" i="1"/>
  <c r="T101" i="1"/>
  <c r="A102" i="1"/>
  <c r="E102" i="1"/>
  <c r="K102" i="1"/>
  <c r="T102" i="1"/>
  <c r="A103" i="1"/>
  <c r="T103" i="1"/>
  <c r="U103" i="1"/>
  <c r="A104" i="1"/>
  <c r="T104" i="1"/>
  <c r="U104" i="1"/>
  <c r="A105" i="1"/>
  <c r="T105" i="1"/>
  <c r="U105" i="1"/>
  <c r="A106" i="1"/>
  <c r="K106" i="1"/>
  <c r="L106" i="1"/>
  <c r="T106" i="1"/>
  <c r="U106" i="1"/>
  <c r="A107" i="1"/>
  <c r="K107" i="1"/>
  <c r="L107" i="1"/>
  <c r="T107" i="1"/>
  <c r="U107" i="1"/>
  <c r="A108" i="1"/>
  <c r="K108" i="1"/>
  <c r="T108" i="1"/>
  <c r="U108" i="1"/>
  <c r="A109" i="1"/>
  <c r="T109" i="1"/>
  <c r="U109" i="1"/>
  <c r="A110" i="1"/>
  <c r="T110" i="1"/>
  <c r="U110" i="1"/>
  <c r="A111" i="1"/>
  <c r="K111" i="1"/>
  <c r="T111" i="1"/>
  <c r="U111" i="1"/>
  <c r="A112" i="1"/>
  <c r="T112" i="1"/>
  <c r="U112" i="1"/>
  <c r="A113" i="1"/>
  <c r="T113" i="1"/>
  <c r="U113" i="1"/>
  <c r="A114" i="1"/>
  <c r="T114" i="1"/>
  <c r="U114" i="1"/>
  <c r="A115" i="1"/>
  <c r="T115" i="1"/>
  <c r="U115" i="1"/>
  <c r="A116" i="1"/>
  <c r="T116" i="1"/>
  <c r="U116" i="1"/>
  <c r="A117" i="1"/>
  <c r="T117" i="1"/>
  <c r="U117" i="1"/>
  <c r="A118" i="1"/>
  <c r="T118" i="1"/>
  <c r="U118" i="1"/>
  <c r="A119" i="1"/>
  <c r="K119" i="1"/>
  <c r="T119" i="1"/>
  <c r="U119" i="1"/>
  <c r="A120" i="1"/>
  <c r="K120" i="1"/>
  <c r="T120" i="1"/>
  <c r="U120" i="1"/>
  <c r="A121" i="1"/>
  <c r="K121" i="1"/>
  <c r="L121" i="1"/>
  <c r="T121" i="1"/>
  <c r="U121" i="1"/>
  <c r="A122" i="1"/>
  <c r="T122" i="1"/>
  <c r="U122" i="1"/>
  <c r="A123" i="1"/>
  <c r="T123" i="1"/>
  <c r="U123" i="1"/>
  <c r="A124" i="1"/>
  <c r="T124" i="1"/>
  <c r="U124" i="1"/>
  <c r="A125" i="1"/>
  <c r="T125" i="1"/>
  <c r="U125" i="1"/>
  <c r="A126" i="1"/>
  <c r="T126" i="1"/>
  <c r="U126" i="1"/>
  <c r="A127" i="1"/>
  <c r="T127" i="1"/>
  <c r="U127" i="1"/>
  <c r="A128" i="1"/>
  <c r="T128" i="1"/>
  <c r="U128" i="1"/>
  <c r="A129" i="1"/>
  <c r="T129" i="1"/>
  <c r="U129" i="1"/>
  <c r="A130" i="1"/>
  <c r="T130" i="1"/>
  <c r="U130" i="1"/>
  <c r="A131" i="1"/>
  <c r="T131" i="1"/>
  <c r="U131" i="1"/>
  <c r="A132" i="1"/>
  <c r="T132" i="1"/>
  <c r="U132" i="1"/>
  <c r="A133" i="1"/>
  <c r="T133" i="1"/>
  <c r="U133" i="1"/>
  <c r="A134" i="1"/>
  <c r="T134" i="1"/>
  <c r="U134" i="1"/>
  <c r="A135" i="1"/>
  <c r="T135" i="1"/>
  <c r="U135" i="1"/>
  <c r="A136" i="1"/>
  <c r="K136" i="1"/>
  <c r="T136" i="1"/>
  <c r="U136" i="1"/>
  <c r="A137" i="1"/>
  <c r="T137" i="1"/>
  <c r="U137" i="1"/>
  <c r="A138" i="1"/>
  <c r="T138" i="1"/>
  <c r="U138" i="1"/>
  <c r="A139" i="1"/>
  <c r="K139" i="1"/>
  <c r="L139" i="1"/>
  <c r="T139" i="1"/>
  <c r="U139" i="1"/>
  <c r="A140" i="1"/>
  <c r="K140" i="1"/>
  <c r="T140" i="1"/>
  <c r="U140" i="1"/>
  <c r="A141" i="1"/>
  <c r="K141" i="1"/>
  <c r="T141" i="1"/>
  <c r="U141" i="1"/>
  <c r="A142" i="1"/>
  <c r="K142" i="1"/>
  <c r="T142" i="1"/>
  <c r="U142" i="1"/>
  <c r="A143" i="1"/>
  <c r="T143" i="1"/>
  <c r="U143" i="1"/>
  <c r="A144" i="1"/>
  <c r="T144" i="1"/>
  <c r="U144" i="1"/>
  <c r="A145" i="1"/>
  <c r="T145" i="1"/>
  <c r="U145" i="1"/>
  <c r="A146" i="1"/>
  <c r="T146" i="1"/>
  <c r="U146" i="1"/>
  <c r="A147" i="1"/>
  <c r="T147" i="1"/>
  <c r="U147" i="1"/>
  <c r="A148" i="1"/>
  <c r="T148" i="1"/>
  <c r="U148" i="1"/>
  <c r="A149" i="1"/>
  <c r="K149" i="1"/>
  <c r="T149" i="1"/>
  <c r="U149" i="1"/>
  <c r="A150" i="1"/>
  <c r="T150" i="1"/>
  <c r="U150" i="1"/>
  <c r="A151" i="1"/>
  <c r="T151" i="1"/>
  <c r="U151" i="1"/>
  <c r="A152" i="1"/>
  <c r="T152" i="1"/>
  <c r="U152" i="1"/>
  <c r="A153" i="1"/>
  <c r="T153" i="1"/>
  <c r="U153" i="1"/>
  <c r="A154" i="1"/>
  <c r="T154" i="1"/>
  <c r="U154" i="1"/>
  <c r="A155" i="1"/>
  <c r="T155" i="1"/>
  <c r="U155" i="1"/>
  <c r="A156" i="1"/>
  <c r="T156" i="1"/>
  <c r="U156" i="1"/>
  <c r="A157" i="1"/>
  <c r="T157" i="1"/>
  <c r="U157" i="1"/>
  <c r="A158" i="1"/>
  <c r="T158" i="1"/>
  <c r="U158" i="1"/>
  <c r="A159" i="1"/>
  <c r="T159" i="1"/>
  <c r="U159" i="1"/>
  <c r="A160" i="1"/>
  <c r="K160" i="1"/>
  <c r="T160" i="1"/>
  <c r="U160" i="1"/>
  <c r="A161" i="1"/>
  <c r="K161" i="1"/>
  <c r="T161" i="1"/>
  <c r="U161" i="1"/>
  <c r="A162" i="1"/>
  <c r="T162" i="1"/>
  <c r="U162" i="1"/>
  <c r="A163" i="1"/>
  <c r="T163" i="1"/>
  <c r="U163" i="1"/>
  <c r="A164" i="1"/>
  <c r="T164" i="1"/>
  <c r="U164" i="1"/>
  <c r="A165" i="1"/>
  <c r="T165" i="1"/>
  <c r="U165" i="1"/>
  <c r="A166" i="1"/>
  <c r="T166" i="1"/>
  <c r="U166" i="1"/>
  <c r="A167" i="1"/>
  <c r="T167" i="1"/>
  <c r="U167" i="1"/>
  <c r="A168" i="1"/>
  <c r="T168" i="1"/>
  <c r="U168" i="1"/>
  <c r="A169" i="1"/>
  <c r="T169" i="1"/>
  <c r="U169" i="1"/>
  <c r="A170" i="1"/>
  <c r="T170" i="1"/>
  <c r="U170" i="1"/>
  <c r="A171" i="1"/>
  <c r="T171" i="1"/>
  <c r="U171" i="1"/>
  <c r="A172" i="1"/>
  <c r="T172" i="1"/>
  <c r="U172" i="1"/>
  <c r="A173" i="1"/>
  <c r="T173" i="1"/>
  <c r="U173" i="1"/>
  <c r="A174" i="1"/>
  <c r="T174" i="1"/>
  <c r="U174" i="1"/>
  <c r="A175" i="1"/>
  <c r="T175" i="1"/>
  <c r="U175" i="1"/>
  <c r="A176" i="1"/>
  <c r="T176" i="1"/>
  <c r="U176" i="1"/>
  <c r="A177" i="1"/>
  <c r="K177" i="1"/>
  <c r="T177" i="1"/>
  <c r="U177" i="1"/>
  <c r="A178" i="1"/>
  <c r="T178" i="1"/>
  <c r="U178" i="1"/>
  <c r="A179" i="1"/>
  <c r="T179" i="1"/>
  <c r="U179" i="1"/>
  <c r="A180" i="1"/>
  <c r="T180" i="1"/>
  <c r="U180" i="1"/>
  <c r="A181" i="1"/>
  <c r="T181" i="1"/>
  <c r="U181" i="1"/>
  <c r="A182" i="1"/>
  <c r="T182" i="1"/>
  <c r="U182" i="1"/>
  <c r="A183" i="1"/>
  <c r="K183" i="1"/>
  <c r="T183" i="1"/>
  <c r="U183" i="1"/>
  <c r="A184" i="1"/>
  <c r="K184" i="1"/>
  <c r="T184" i="1"/>
  <c r="U184" i="1"/>
  <c r="A185" i="1"/>
  <c r="K185" i="1"/>
  <c r="T185" i="1"/>
  <c r="U185" i="1"/>
  <c r="A186" i="1"/>
  <c r="K186" i="1"/>
  <c r="T186" i="1"/>
  <c r="U186" i="1"/>
  <c r="A187" i="1"/>
  <c r="K187" i="1"/>
  <c r="T187" i="1"/>
  <c r="U187" i="1"/>
  <c r="A188" i="1"/>
  <c r="K188" i="1"/>
  <c r="T188" i="1"/>
  <c r="U188" i="1"/>
</calcChain>
</file>

<file path=xl/sharedStrings.xml><?xml version="1.0" encoding="utf-8"?>
<sst xmlns="http://schemas.openxmlformats.org/spreadsheetml/2006/main" count="1436" uniqueCount="402">
  <si>
    <t>CUSCOD</t>
  </si>
  <si>
    <t>CUSTYP</t>
  </si>
  <si>
    <t>CUSNMF</t>
  </si>
  <si>
    <t>CUSNML</t>
  </si>
  <si>
    <t>CUSDOB</t>
  </si>
  <si>
    <t>ADDRS1</t>
  </si>
  <si>
    <t>ADDRS2</t>
  </si>
  <si>
    <t>ADDRS3</t>
  </si>
  <si>
    <t>ADDRS4</t>
  </si>
  <si>
    <t>CITYNM</t>
  </si>
  <si>
    <t>TELENO</t>
  </si>
  <si>
    <t>MOBLNO</t>
  </si>
  <si>
    <t>TELXNO</t>
  </si>
  <si>
    <t>FAXNO</t>
  </si>
  <si>
    <t>MAILID</t>
  </si>
  <si>
    <t>SPONAM</t>
  </si>
  <si>
    <t>GENDER</t>
  </si>
  <si>
    <t>CUSSTS</t>
  </si>
  <si>
    <t>NATLID</t>
  </si>
  <si>
    <t>TIMSTAMP</t>
  </si>
  <si>
    <t>OPRBRA</t>
  </si>
  <si>
    <t>REG</t>
  </si>
  <si>
    <t>OPEX DESIGNERS LTD.</t>
  </si>
  <si>
    <t>House-368, Road-28</t>
  </si>
  <si>
    <t>New D. O. H. S.</t>
  </si>
  <si>
    <t>Mohakhali, Dhaka</t>
  </si>
  <si>
    <t>Dhaka</t>
  </si>
  <si>
    <t>888856-7</t>
  </si>
  <si>
    <t>C</t>
  </si>
  <si>
    <t>ACT</t>
  </si>
  <si>
    <t>IFTEKHAR HOSSAIN</t>
  </si>
  <si>
    <t>Acnabin &amp; Co.</t>
  </si>
  <si>
    <t>National Scout Bhaban</t>
  </si>
  <si>
    <t>(13 Th Floor)</t>
  </si>
  <si>
    <t>70/1 Inner Circular Rd.Kakrail</t>
  </si>
  <si>
    <t>acnabin@bangla.net</t>
  </si>
  <si>
    <t>ISHRAT NAZNEEN</t>
  </si>
  <si>
    <t>M</t>
  </si>
  <si>
    <t>A T M ABDUL BARI</t>
  </si>
  <si>
    <t>(13th Flr)</t>
  </si>
  <si>
    <t>70/1 Inner Circular Rd,Kakrail</t>
  </si>
  <si>
    <t>Dhaka-1000</t>
  </si>
  <si>
    <t>MOHAMMAD NURUN NABI</t>
  </si>
  <si>
    <t>(13 Th Flr)</t>
  </si>
  <si>
    <t xml:space="preserve">RANGS LIMITED </t>
  </si>
  <si>
    <t>113-116, Old Airport Road</t>
  </si>
  <si>
    <t>Rangs Bhaban  Dhaka</t>
  </si>
  <si>
    <t>MD KHALEQUZZAMAN</t>
  </si>
  <si>
    <t>Bank Asia Limited</t>
  </si>
  <si>
    <t>Rangs Bhaban</t>
  </si>
  <si>
    <t>113-116 Old Airport Road</t>
  </si>
  <si>
    <t>khalequzzaman@bankasia.com.bd</t>
  </si>
  <si>
    <t>MRS MAHMUDA ANWAR</t>
  </si>
  <si>
    <t xml:space="preserve">  House No -7,Rd No-10,</t>
  </si>
  <si>
    <t xml:space="preserve">  Dhanmondi,Dhaka</t>
  </si>
  <si>
    <t xml:space="preserve">  House No-7,Rd No-10,</t>
  </si>
  <si>
    <t>DELTA  LIFE INSURANCE</t>
  </si>
  <si>
    <t>CO LTD</t>
  </si>
  <si>
    <t>CENTRAL OFFICE, UTTARA BANK</t>
  </si>
  <si>
    <t>BHABAN 90-91 MOTIJHEEL C/A</t>
  </si>
  <si>
    <t>DHAKA</t>
  </si>
  <si>
    <t>RELIANCE INSURANCE L</t>
  </si>
  <si>
    <t>TD</t>
  </si>
  <si>
    <t xml:space="preserve">  Bsb Building,8,Rajuk Avenue</t>
  </si>
  <si>
    <t xml:space="preserve">  Dhaka</t>
  </si>
  <si>
    <t xml:space="preserve">  Bsb Building 8,Rajuk Avenue</t>
  </si>
  <si>
    <t xml:space="preserve">NAIMA FAIZEE </t>
  </si>
  <si>
    <t xml:space="preserve">  113-116 Old Airport Road</t>
  </si>
  <si>
    <t xml:space="preserve">  Rangs Bhaban, 6th Floor</t>
  </si>
  <si>
    <t xml:space="preserve">  Dhaka.</t>
  </si>
  <si>
    <t>EPSILON ENGINEERS LT</t>
  </si>
  <si>
    <t>D.</t>
  </si>
  <si>
    <t xml:space="preserve">  17/1, Monipuripara, 1st Flo</t>
  </si>
  <si>
    <t>R,Sangsad Avenue, Dhaka</t>
  </si>
  <si>
    <t xml:space="preserve">  113-116. Old Airport Road</t>
  </si>
  <si>
    <t xml:space="preserve">    Rangs Bhaban, Dhaka</t>
  </si>
  <si>
    <t>MUSTAFA IMRUL QUAYES</t>
  </si>
  <si>
    <t xml:space="preserve">  B# 3 F# 5 Kallanpur</t>
  </si>
  <si>
    <t xml:space="preserve">  Houseing &amp; State Kallan-</t>
  </si>
  <si>
    <t xml:space="preserve">  Pur Dhaka</t>
  </si>
  <si>
    <t xml:space="preserve">  B# 3, F#5, Kallanpur</t>
  </si>
  <si>
    <t xml:space="preserve">  Housing &amp; State</t>
  </si>
  <si>
    <t xml:space="preserve">  Kallanpur, Dhaka</t>
  </si>
  <si>
    <t xml:space="preserve">  113-116 Old Airport Road,</t>
  </si>
  <si>
    <t xml:space="preserve">  Rangs Bhaban, 6th , Floor</t>
  </si>
  <si>
    <t xml:space="preserve">SYEDA RAZINA RAHMAN </t>
  </si>
  <si>
    <t>&amp; MD. SHAKILUR RAHMA</t>
  </si>
  <si>
    <t xml:space="preserve">  131, New Eskation Road,</t>
  </si>
  <si>
    <t xml:space="preserve">  Eskaton, Plaza , App# 12/B</t>
  </si>
  <si>
    <t xml:space="preserve">  17/1, Monipuripara</t>
  </si>
  <si>
    <t xml:space="preserve">  1st Floor, Sangsad Avenue</t>
  </si>
  <si>
    <t xml:space="preserve">  Dhaka 1215</t>
  </si>
  <si>
    <t xml:space="preserve"> </t>
  </si>
  <si>
    <t xml:space="preserve">  B# 3, F# 5, Kallanpur</t>
  </si>
  <si>
    <t xml:space="preserve">  Housing Estate, Kallanpur</t>
  </si>
  <si>
    <t xml:space="preserve">  Dhaka-</t>
  </si>
  <si>
    <t xml:space="preserve">NAIMA FAIZEE  </t>
  </si>
  <si>
    <t xml:space="preserve">  113-116, Old Airport Road,</t>
  </si>
  <si>
    <t xml:space="preserve">  Rangsb Bhaban,6th Floor</t>
  </si>
  <si>
    <t>SHERIF MUHAMMAD ALAM</t>
  </si>
  <si>
    <t>GIR</t>
  </si>
  <si>
    <t xml:space="preserve">  11, Naya Paltan,2nd</t>
  </si>
  <si>
    <t xml:space="preserve">  Floor,Dhaka-1000</t>
  </si>
  <si>
    <t xml:space="preserve">  11,Naya Paltan,2nd Floor</t>
  </si>
  <si>
    <t xml:space="preserve">  Dhaka-1000</t>
  </si>
  <si>
    <t xml:space="preserve">  11, Naya Paltan, 2nd Floor</t>
  </si>
  <si>
    <t xml:space="preserve">  B#3, F#5, Kallanpur Housing</t>
  </si>
  <si>
    <t xml:space="preserve">  Estate, Dhaka-1207</t>
  </si>
  <si>
    <t xml:space="preserve">  113-116, Old Airport Road</t>
  </si>
  <si>
    <t xml:space="preserve">  113-116,Old Airport Road</t>
  </si>
  <si>
    <t xml:space="preserve">  Rangs Bhaban(6th Floor)</t>
  </si>
  <si>
    <t xml:space="preserve">  Rangs Bhaban, Dhaka</t>
  </si>
  <si>
    <t>NITOL INSURANCE COMP</t>
  </si>
  <si>
    <t>ANY LTD.</t>
  </si>
  <si>
    <t xml:space="preserve">  71, Mohakhali, C/A </t>
  </si>
  <si>
    <t xml:space="preserve">  71, Mohakhali C/A</t>
  </si>
  <si>
    <t xml:space="preserve">  B# 3, F# 5 Kallanpur</t>
  </si>
  <si>
    <t xml:space="preserve">  Housingn Estate, Dhaka</t>
  </si>
  <si>
    <t xml:space="preserve">  113-116 Old Airport Rd.</t>
  </si>
  <si>
    <t xml:space="preserve">  Rangs Bhaban, 6th Fl. Dhaka</t>
  </si>
  <si>
    <t>PETER A. GOMES</t>
  </si>
  <si>
    <t xml:space="preserve">  Dmc-602, North Kafrul,</t>
  </si>
  <si>
    <t xml:space="preserve">  Dhaka Cantt, Dhaka-1206.</t>
  </si>
  <si>
    <t xml:space="preserve">  Dmc-602, North Kafrul</t>
  </si>
  <si>
    <t xml:space="preserve">  Dhaka Cantt. Dhaka-1206.</t>
  </si>
  <si>
    <t xml:space="preserve">  B#3, F#5,Kallanpur Housing</t>
  </si>
  <si>
    <t xml:space="preserve">  Easte</t>
  </si>
  <si>
    <t xml:space="preserve">  Dhaka-1207</t>
  </si>
  <si>
    <t xml:space="preserve">  Rangs Bhaban (6 Th Floor)</t>
  </si>
  <si>
    <t>M. H. MASOOD</t>
  </si>
  <si>
    <t xml:space="preserve">  2/5, Shahjahan Road</t>
  </si>
  <si>
    <t xml:space="preserve">  Mohammadour</t>
  </si>
  <si>
    <t xml:space="preserve">ANIS AHMED </t>
  </si>
  <si>
    <t xml:space="preserve">  House # 24, Road # 4/K,</t>
  </si>
  <si>
    <t xml:space="preserve">  Baridhara</t>
  </si>
  <si>
    <t xml:space="preserve">  House No 24, Road 4/K</t>
  </si>
  <si>
    <t xml:space="preserve">  Baridhara, Dhaka</t>
  </si>
  <si>
    <t>M. S. HAQ</t>
  </si>
  <si>
    <t xml:space="preserve">  55, Park Road</t>
  </si>
  <si>
    <t xml:space="preserve">  Baridhara R/A</t>
  </si>
  <si>
    <t xml:space="preserve">  Baridhira</t>
  </si>
  <si>
    <t xml:space="preserve">  Badidhira Dhaka</t>
  </si>
  <si>
    <t>MRS. ANJUMAN AZIZ KH</t>
  </si>
  <si>
    <t>AN</t>
  </si>
  <si>
    <t xml:space="preserve">  Summit Centre (11th Fl)</t>
  </si>
  <si>
    <t xml:space="preserve">  18, Karwanbazar C/A</t>
  </si>
  <si>
    <t xml:space="preserve">  Summit Centre 11th Fl</t>
  </si>
  <si>
    <t xml:space="preserve">  18, Karwanbazar</t>
  </si>
  <si>
    <t xml:space="preserve">  Summit Centre</t>
  </si>
  <si>
    <t xml:space="preserve">  18, Karwan Bazar</t>
  </si>
  <si>
    <t xml:space="preserve">  18 Karwanbazar</t>
  </si>
  <si>
    <t xml:space="preserve">  Summit Centre 11th</t>
  </si>
  <si>
    <t xml:space="preserve">  Summit Centre 11th Fl.</t>
  </si>
  <si>
    <t>BHABAN 90-91, MOTIJHEEL C/A</t>
  </si>
  <si>
    <t>KAZI SAIFUR RAHMAN</t>
  </si>
  <si>
    <t>Rangs Motors Ltd. Rangs Bhaba</t>
  </si>
  <si>
    <t>(2nd Fl), Tejgaon, Dhaka-1215</t>
  </si>
  <si>
    <t xml:space="preserve">M. H. MASOOD  </t>
  </si>
  <si>
    <t>2/5 Shahjahan Road,</t>
  </si>
  <si>
    <t>Mohammadpur</t>
  </si>
  <si>
    <t>N/A</t>
  </si>
  <si>
    <t>khaleq@bankasia.com.bd</t>
  </si>
  <si>
    <t>MD ZAHIDUL ISLAM</t>
  </si>
  <si>
    <t>Sea Fisheries Ltd</t>
  </si>
  <si>
    <t>Rangs Bhaban (4th Flr)</t>
  </si>
  <si>
    <t>srldac@bd-online.com</t>
  </si>
  <si>
    <t>MD HASAN ULLAH</t>
  </si>
  <si>
    <t>Sea Resources Group</t>
  </si>
  <si>
    <t>131, New Eskaton Road</t>
  </si>
  <si>
    <t>Eskaton Plaza App-12/B</t>
  </si>
  <si>
    <t>MOHAMMAD KAMRUZZAMAN</t>
  </si>
  <si>
    <t>Rangs Motors Ltd.</t>
  </si>
  <si>
    <t>113-116,Old Airport Road</t>
  </si>
  <si>
    <t>Tejgaon,Dhaka</t>
  </si>
  <si>
    <t>Rangs Bhaban (2nd Fl)</t>
  </si>
  <si>
    <t>Tejgaon, Dhaka-1215.</t>
  </si>
  <si>
    <t>RANGS LIMITED</t>
  </si>
  <si>
    <t>113-116 Old Airport Rd</t>
  </si>
  <si>
    <t>Rangs Bhaban Dhaka</t>
  </si>
  <si>
    <t>NATIONAL TOBACCO LTD</t>
  </si>
  <si>
    <t>.</t>
  </si>
  <si>
    <t>28,Dilkusha C/A</t>
  </si>
  <si>
    <t>MD. SAIFUR RAHMAN</t>
  </si>
  <si>
    <t>181, Shahjahan Road, Mohammadp</t>
  </si>
  <si>
    <t xml:space="preserve"> Dhaka</t>
  </si>
  <si>
    <t>MD MEZBAHUDDIN TIPU</t>
  </si>
  <si>
    <t xml:space="preserve">5/A, Shantibagh </t>
  </si>
  <si>
    <t>5/A, Shantibagh</t>
  </si>
  <si>
    <t xml:space="preserve">5/A Shantibagh </t>
  </si>
  <si>
    <t xml:space="preserve">5/A, Shanyibagh </t>
  </si>
  <si>
    <t xml:space="preserve">NASIMA PERVIN </t>
  </si>
  <si>
    <t>1/8, Block-B</t>
  </si>
  <si>
    <t>Lalmatia</t>
  </si>
  <si>
    <t xml:space="preserve">DULAL DAS </t>
  </si>
  <si>
    <t>48, Kamal Attaturk Avenue</t>
  </si>
  <si>
    <t xml:space="preserve">SAIFUR RAHMAN </t>
  </si>
  <si>
    <t>149, West Arjatpara</t>
  </si>
  <si>
    <t>Tejgoan</t>
  </si>
  <si>
    <t>M.A. JALIL BHUIYAN</t>
  </si>
  <si>
    <t>10, Dilkusha.</t>
  </si>
  <si>
    <t>10, Dilkusha C/A</t>
  </si>
  <si>
    <t>181, Shahjahan Road</t>
  </si>
  <si>
    <t>Mohammad Pur</t>
  </si>
  <si>
    <t>M. FAJLUR RAHMAN</t>
  </si>
  <si>
    <t>63/C. Asad Avenue</t>
  </si>
  <si>
    <t>63/C, Asad Avenue.</t>
  </si>
  <si>
    <t>63/C, Asad Avenue</t>
  </si>
  <si>
    <t xml:space="preserve">MD SHAHJAHAN </t>
  </si>
  <si>
    <t>Vill. Gorapipara</t>
  </si>
  <si>
    <t>Po. Malkhanagar</t>
  </si>
  <si>
    <t>Munshiganj</t>
  </si>
  <si>
    <t xml:space="preserve">SANJIT DAS </t>
  </si>
  <si>
    <t>Vill.Fegunasar</t>
  </si>
  <si>
    <t>Po.Malkhanagar</t>
  </si>
  <si>
    <t>Munshiganj.</t>
  </si>
  <si>
    <t xml:space="preserve">HOSNEARA BEGUM </t>
  </si>
  <si>
    <t>Vill.Gorapipara</t>
  </si>
  <si>
    <t>F</t>
  </si>
  <si>
    <t xml:space="preserve">BACHCHU DEWAN </t>
  </si>
  <si>
    <t>Vill.Bairagadi</t>
  </si>
  <si>
    <t>Po. Pauldia,Serajdikha.</t>
  </si>
  <si>
    <t xml:space="preserve">AKHI SULTANA </t>
  </si>
  <si>
    <t>Vill.Chto Pauldia</t>
  </si>
  <si>
    <t>Po. Baro Pauldia</t>
  </si>
  <si>
    <t>Vill,Gorapipara</t>
  </si>
  <si>
    <t>Malkhanagar Munshigonj</t>
  </si>
  <si>
    <t xml:space="preserve">RAHIMA BEGUM </t>
  </si>
  <si>
    <t>Vill: Furshial Malkhanagar</t>
  </si>
  <si>
    <t>Munshigonj</t>
  </si>
  <si>
    <t xml:space="preserve">Seuli Akter </t>
  </si>
  <si>
    <t>Vill : Sealdi, Po: Esapura</t>
  </si>
  <si>
    <t>Moyna Rani Rajbongsh</t>
  </si>
  <si>
    <t>i</t>
  </si>
  <si>
    <t>Vill : Furshail</t>
  </si>
  <si>
    <t>Po : Malkhanagar</t>
  </si>
  <si>
    <t>Vill, Fegunasar</t>
  </si>
  <si>
    <t>Po.Malkhanagar,Munshiganj.</t>
  </si>
  <si>
    <t>Vill.Bairagadi,Po.Pauldia</t>
  </si>
  <si>
    <t>Srerajdikhan,Munshiganj.</t>
  </si>
  <si>
    <t>Po.Baro Pauldia,Munshiganj.</t>
  </si>
  <si>
    <t>Vill: Furshail Po: Malkhanagar</t>
  </si>
  <si>
    <t>Vill,Gorapi Para</t>
  </si>
  <si>
    <t>Po, Mallkhanagar,Munshiganj.</t>
  </si>
  <si>
    <t>Vill : Sealdi Po : Esapura</t>
  </si>
  <si>
    <t>Vill : Furshail,Po; Malkhanaga</t>
  </si>
  <si>
    <t>R</t>
  </si>
  <si>
    <t>MOHAMMED</t>
  </si>
  <si>
    <t>SHAMSUZZOHA</t>
  </si>
  <si>
    <t>Tower Hamlet (6th Flr)</t>
  </si>
  <si>
    <t>16 Kemal Ataturk Ave. Banani</t>
  </si>
  <si>
    <t>Dhaka-1212</t>
  </si>
  <si>
    <t>licargo@citech-bd.com</t>
  </si>
  <si>
    <t>HABIBUL HUSSAIN</t>
  </si>
  <si>
    <t>CHOWDHURY</t>
  </si>
  <si>
    <t>16, Kemal Ataturk Ave. Banani</t>
  </si>
  <si>
    <t>113-116.Old Airport Road.</t>
  </si>
  <si>
    <t>The Shanin CO. Ltd. Officers</t>
  </si>
  <si>
    <t>and Employees P.F</t>
  </si>
  <si>
    <t>Shanin Group</t>
  </si>
  <si>
    <t>Santa Western Tower (Level-7)</t>
  </si>
  <si>
    <t>186 Tejgoan Industrail Area</t>
  </si>
  <si>
    <t>Tejgoan, Dhaka-1208</t>
  </si>
  <si>
    <t>maksud@shaningroup.net</t>
  </si>
  <si>
    <t>M&amp; M Dresses Ltd.</t>
  </si>
  <si>
    <t>Shanta Western Tower (Level-7)</t>
  </si>
  <si>
    <t>186, Tejgaon I/A</t>
  </si>
  <si>
    <t>Dhaka-1208</t>
  </si>
  <si>
    <t>Sea Resources Limite</t>
  </si>
  <si>
    <t>d</t>
  </si>
  <si>
    <t>Level # 2,117/A OLD AIR PORT ROAD</t>
  </si>
  <si>
    <t>02-9134198</t>
  </si>
  <si>
    <t>farhanayasmin30@gmail.com</t>
  </si>
  <si>
    <t>Agro Food Services L</t>
  </si>
  <si>
    <t>imited</t>
  </si>
  <si>
    <t>Rangs Bhaban. Level # 2</t>
  </si>
  <si>
    <t>, 117/A OLD AIR PORT ROAD, DHAKA</t>
  </si>
  <si>
    <t>House#368, Road#28</t>
  </si>
  <si>
    <t>New Dohs, Mohakhali.</t>
  </si>
  <si>
    <t>Dhaka.</t>
  </si>
  <si>
    <t>ISMAILIA CO-OPERATIV</t>
  </si>
  <si>
    <t>E SOCIETY LTD.</t>
  </si>
  <si>
    <t>56/57,Siddeswary Road.</t>
  </si>
  <si>
    <t>56/57,Siddeswari Road</t>
  </si>
  <si>
    <t>House #368,Road # 28</t>
  </si>
  <si>
    <t>New Dohs.Mohakhali</t>
  </si>
  <si>
    <t>8828856-7</t>
  </si>
  <si>
    <t>SAMIUR RAHMAN KHAN</t>
  </si>
  <si>
    <t>122 New Eskaton</t>
  </si>
  <si>
    <t>122 New Eskaton Rd.</t>
  </si>
  <si>
    <t>122 Eskaton Rd.</t>
  </si>
  <si>
    <t>MEDLAR FASHIONS LTD.</t>
  </si>
  <si>
    <t>4 Darussalam Road</t>
  </si>
  <si>
    <t>Mirpur</t>
  </si>
  <si>
    <t>Dhaka - 1216</t>
  </si>
  <si>
    <t>Mirpur -1</t>
  </si>
  <si>
    <t>Dhaka-1216</t>
  </si>
  <si>
    <t>28,Dilkusha C/A,Dhaka.</t>
  </si>
  <si>
    <t>SABBIR AHMED AREF</t>
  </si>
  <si>
    <t>2, Avoy Das Lane Tikatuli</t>
  </si>
  <si>
    <t xml:space="preserve">ABDUR RASHID </t>
  </si>
  <si>
    <t>66/11.Siddique Bazer</t>
  </si>
  <si>
    <t xml:space="preserve">SELINA BEGUM </t>
  </si>
  <si>
    <t>8/230p.C. Culture</t>
  </si>
  <si>
    <t>8/23  P.C.Culture</t>
  </si>
  <si>
    <t>MD.IQBAL KABIR &amp; ROK</t>
  </si>
  <si>
    <t>SANA RITU HUSNA</t>
  </si>
  <si>
    <t>34,Purana Paltan</t>
  </si>
  <si>
    <t>54,Purana Paltan</t>
  </si>
  <si>
    <t>54,Puranapaltan</t>
  </si>
  <si>
    <t>SYED AND YAKUT</t>
  </si>
  <si>
    <t>Jahangir Tower</t>
  </si>
  <si>
    <t>10,Kazi Nazrul Islam Avenue</t>
  </si>
  <si>
    <t>Kawran Bazar, Dhaka</t>
  </si>
  <si>
    <t xml:space="preserve">MRS. MURSHIDA AFRIN </t>
  </si>
  <si>
    <t>144/1 Muktua Housing</t>
  </si>
  <si>
    <t>Taltola , Mirpur</t>
  </si>
  <si>
    <t>144/ 1, Muktua Housing</t>
  </si>
  <si>
    <t>MD. AZIZUL HAQUE</t>
  </si>
  <si>
    <t>28,Dilkusha C/A,</t>
  </si>
  <si>
    <t>MD. LABIB UDDIN</t>
  </si>
  <si>
    <t>1-D/7-23,Mirpur</t>
  </si>
  <si>
    <t>Sec # 1,Mirpur</t>
  </si>
  <si>
    <t>Mirpur Sec # 1</t>
  </si>
  <si>
    <t>1/8, Block-B,Lalmatia</t>
  </si>
  <si>
    <t>149, Wset Arjatpara</t>
  </si>
  <si>
    <t>Tejgoan .Dhaha</t>
  </si>
  <si>
    <t>48, Kamal Ataturu Avenue</t>
  </si>
  <si>
    <t>Banani Dhaka</t>
  </si>
  <si>
    <t>66/11.Siddique Bazar</t>
  </si>
  <si>
    <t>2, Avoy Das Line Tikatuli</t>
  </si>
  <si>
    <t>MD. FAZLUL HOQUE</t>
  </si>
  <si>
    <t>House-15,Road-72</t>
  </si>
  <si>
    <t>Gulshan</t>
  </si>
  <si>
    <t>House15, Road72,</t>
  </si>
  <si>
    <t>MD. FAZLUL</t>
  </si>
  <si>
    <t>HOQUE</t>
  </si>
  <si>
    <t>House - 15, Road - 72,</t>
  </si>
  <si>
    <t>Gulshan - 2,</t>
  </si>
  <si>
    <t>HAQUE</t>
  </si>
  <si>
    <t>House # 15, Road # 72,</t>
  </si>
  <si>
    <t>Gulshan # 2,</t>
  </si>
  <si>
    <t>RELIANCE INSURANCE</t>
  </si>
  <si>
    <t>LIMITED</t>
  </si>
  <si>
    <t>Bsb Building,</t>
  </si>
  <si>
    <t>8 Rajuk Avenue,</t>
  </si>
  <si>
    <t>Dhaka - 1000</t>
  </si>
  <si>
    <t>H-15, R-72,</t>
  </si>
  <si>
    <t>MRS. F. HUQ. &amp; MR. R</t>
  </si>
  <si>
    <t xml:space="preserve">. HUQ. </t>
  </si>
  <si>
    <t>47/1,Purana Paltan</t>
  </si>
  <si>
    <t>47/1, Purana Paltan</t>
  </si>
  <si>
    <t>Gulshan ,Dhaka</t>
  </si>
  <si>
    <t>MR. R. HUQ AND/OR</t>
  </si>
  <si>
    <t>MRS. F. HUQ</t>
  </si>
  <si>
    <t>47/1, Purana Paltan,</t>
  </si>
  <si>
    <t>MD. FAZLUL HAQUE</t>
  </si>
  <si>
    <t>House # 15</t>
  </si>
  <si>
    <t>Rd#72,Gulshan-2</t>
  </si>
  <si>
    <t>House No 15,Road-72</t>
  </si>
  <si>
    <t>Gulshan 2,Dhaka</t>
  </si>
  <si>
    <t>SK. AKTAR</t>
  </si>
  <si>
    <t>HOSSAIN</t>
  </si>
  <si>
    <t>47/F Shahid Moinul Road,</t>
  </si>
  <si>
    <t>Dhaka Cantt.</t>
  </si>
  <si>
    <t>House-15,Rd-72,Gulshan</t>
  </si>
  <si>
    <t>2,Dhaka</t>
  </si>
  <si>
    <t>House # 15, Road # 72</t>
  </si>
  <si>
    <t>Gulshan-2, Dhaka.</t>
  </si>
  <si>
    <t>8 Rajuk Avenue (11th Floor),</t>
  </si>
  <si>
    <t>JAMIL AHMED CHOWDHUR</t>
  </si>
  <si>
    <t>Y</t>
  </si>
  <si>
    <t>Hac Enterprise Ltd</t>
  </si>
  <si>
    <t>5,Motijheel C/A Dhaka</t>
  </si>
  <si>
    <t xml:space="preserve">MD. FAZLUL HOQUE </t>
  </si>
  <si>
    <t>H#15, R#92</t>
  </si>
  <si>
    <t>Gulshan-2</t>
  </si>
  <si>
    <t>House #15 Rd#72</t>
  </si>
  <si>
    <t>Gulshan 2 Dhaka.</t>
  </si>
  <si>
    <t>House#15,Rd#72</t>
  </si>
  <si>
    <t>Gulshan 2,Dhaka.</t>
  </si>
  <si>
    <t>SK. AKTAR HOSSAIN</t>
  </si>
  <si>
    <t>47/F Shahid Moinul Rd</t>
  </si>
  <si>
    <t>Dhaka Cant Dhaka</t>
  </si>
  <si>
    <t>5 Motijheel Dhaka</t>
  </si>
  <si>
    <t>Bsb Building,8 Rajuk Avenue</t>
  </si>
  <si>
    <t>THE INSTITUTE OF BAN</t>
  </si>
  <si>
    <t>KERS BANGLADESH</t>
  </si>
  <si>
    <t>Bsrs Bhaban (10th Floor)</t>
  </si>
  <si>
    <t>12, Kawran Bazar,</t>
  </si>
  <si>
    <t>Dhaka-1215</t>
  </si>
  <si>
    <t>MD. MAMUNUL HUDA</t>
  </si>
  <si>
    <t>H# 3/7, Block -A, North</t>
  </si>
  <si>
    <t>South Road, Banasree</t>
  </si>
  <si>
    <t>Rampura, Dhaka</t>
  </si>
  <si>
    <t>H# 3/7, Block -A North</t>
  </si>
  <si>
    <t>Bsrs Bhaban 10th Floor,</t>
  </si>
  <si>
    <t>12,Kawran Bazer, Dhaka-1215</t>
  </si>
  <si>
    <t>MD. ANWAR-UL- ISLAM</t>
  </si>
  <si>
    <t>Not Found</t>
  </si>
  <si>
    <t>34/35.35/1,Rawshanara Market</t>
  </si>
  <si>
    <t>ULI,DHAK</t>
  </si>
  <si>
    <t>34/35,35/1,Rawshanara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</si>
</sst>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07F-5AF1-489D-BD1C-BB1E8CE76235}">
  <dimension ref="A1:U18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tr">
        <f>"00022316"</f>
        <v>00022316</v>
      </c>
      <c r="B2" t="s">
        <v>21</v>
      </c>
      <c r="C2" t="s">
        <v>22</v>
      </c>
      <c r="F2" t="s">
        <v>23</v>
      </c>
      <c r="G2" t="s">
        <v>24</v>
      </c>
      <c r="H2" t="s">
        <v>25</v>
      </c>
      <c r="J2" t="s">
        <v>26</v>
      </c>
      <c r="K2" t="str">
        <f>"888860-4,"</f>
        <v>888860-4,</v>
      </c>
      <c r="N2" t="s">
        <v>27</v>
      </c>
      <c r="Q2" t="s">
        <v>28</v>
      </c>
      <c r="R2" t="s">
        <v>29</v>
      </c>
      <c r="T2" t="str">
        <f>"2003-01-05 11:52:01.000000"</f>
        <v>2003-01-05 11:52:01.000000</v>
      </c>
      <c r="U2" t="str">
        <f>"007"</f>
        <v>007</v>
      </c>
    </row>
    <row r="3" spans="1:21">
      <c r="A3" t="str">
        <f>"00023506"</f>
        <v>00023506</v>
      </c>
      <c r="B3" t="s">
        <v>21</v>
      </c>
      <c r="C3" t="s">
        <v>30</v>
      </c>
      <c r="E3" t="str">
        <f>"1977-01-23"</f>
        <v>1977-01-23</v>
      </c>
      <c r="F3" t="s">
        <v>31</v>
      </c>
      <c r="G3" t="s">
        <v>32</v>
      </c>
      <c r="H3" t="s">
        <v>33</v>
      </c>
      <c r="I3" t="s">
        <v>34</v>
      </c>
      <c r="J3" t="s">
        <v>26</v>
      </c>
      <c r="N3">
        <v>9338063</v>
      </c>
      <c r="O3" t="s">
        <v>35</v>
      </c>
      <c r="P3" t="s">
        <v>36</v>
      </c>
      <c r="Q3" t="s">
        <v>37</v>
      </c>
      <c r="R3" t="s">
        <v>29</v>
      </c>
      <c r="T3" t="str">
        <f>"2003-01-23 12:21:58.000000"</f>
        <v>2003-01-23 12:21:58.000000</v>
      </c>
      <c r="U3" t="str">
        <f>"012"</f>
        <v>012</v>
      </c>
    </row>
    <row r="4" spans="1:21">
      <c r="A4" t="str">
        <f>"00023507"</f>
        <v>00023507</v>
      </c>
      <c r="B4" t="s">
        <v>21</v>
      </c>
      <c r="C4" t="s">
        <v>38</v>
      </c>
      <c r="E4" t="str">
        <f>"1978-01-23"</f>
        <v>1978-01-23</v>
      </c>
      <c r="F4" t="s">
        <v>31</v>
      </c>
      <c r="G4" t="s">
        <v>32</v>
      </c>
      <c r="H4" t="s">
        <v>39</v>
      </c>
      <c r="I4" t="s">
        <v>40</v>
      </c>
      <c r="J4" t="s">
        <v>41</v>
      </c>
      <c r="N4">
        <v>9338063</v>
      </c>
      <c r="O4" t="s">
        <v>35</v>
      </c>
      <c r="Q4" t="s">
        <v>37</v>
      </c>
      <c r="R4" t="s">
        <v>29</v>
      </c>
      <c r="T4" t="str">
        <f>"2003-01-23 12:31:46.000000"</f>
        <v>2003-01-23 12:31:46.000000</v>
      </c>
    </row>
    <row r="5" spans="1:21">
      <c r="A5" t="str">
        <f>"00023508"</f>
        <v>00023508</v>
      </c>
      <c r="B5" t="s">
        <v>21</v>
      </c>
      <c r="C5" t="s">
        <v>42</v>
      </c>
      <c r="E5" t="str">
        <f>"1979-01-23"</f>
        <v>1979-01-23</v>
      </c>
      <c r="F5" t="s">
        <v>31</v>
      </c>
      <c r="G5" t="s">
        <v>32</v>
      </c>
      <c r="H5" t="s">
        <v>43</v>
      </c>
      <c r="I5" t="s">
        <v>40</v>
      </c>
      <c r="J5" t="s">
        <v>41</v>
      </c>
      <c r="N5">
        <v>9338063</v>
      </c>
      <c r="O5" t="s">
        <v>35</v>
      </c>
      <c r="Q5" t="s">
        <v>37</v>
      </c>
      <c r="R5" t="s">
        <v>29</v>
      </c>
      <c r="T5" t="str">
        <f>"2003-01-23 12:34:02.000000"</f>
        <v>2003-01-23 12:34:02.000000</v>
      </c>
    </row>
    <row r="6" spans="1:21">
      <c r="A6" t="str">
        <f>"00023532"</f>
        <v>00023532</v>
      </c>
      <c r="B6" t="s">
        <v>21</v>
      </c>
      <c r="C6" t="s">
        <v>44</v>
      </c>
      <c r="F6" t="s">
        <v>45</v>
      </c>
      <c r="G6" t="s">
        <v>46</v>
      </c>
      <c r="J6" t="s">
        <v>26</v>
      </c>
      <c r="Q6" t="s">
        <v>28</v>
      </c>
      <c r="T6" t="str">
        <f>"2003-01-28 15:43:26.000000"</f>
        <v>2003-01-28 15:43:26.000000</v>
      </c>
      <c r="U6" t="str">
        <f t="shared" ref="U6:U37" si="0">"002"</f>
        <v>002</v>
      </c>
    </row>
    <row r="7" spans="1:21">
      <c r="A7" t="str">
        <f>"00023771"</f>
        <v>00023771</v>
      </c>
      <c r="B7" t="s">
        <v>21</v>
      </c>
      <c r="C7" t="s">
        <v>47</v>
      </c>
      <c r="E7" t="str">
        <f>"1969-02-17"</f>
        <v>1969-02-17</v>
      </c>
      <c r="F7" t="s">
        <v>48</v>
      </c>
      <c r="G7" t="s">
        <v>49</v>
      </c>
      <c r="H7" t="s">
        <v>50</v>
      </c>
      <c r="J7" t="s">
        <v>26</v>
      </c>
      <c r="K7" t="str">
        <f>"029881922"</f>
        <v>029881922</v>
      </c>
      <c r="L7" t="str">
        <f>"0176456422"</f>
        <v>0176456422</v>
      </c>
      <c r="O7" t="s">
        <v>51</v>
      </c>
      <c r="Q7" t="s">
        <v>28</v>
      </c>
      <c r="T7" t="str">
        <f>"2005-07-31 14:48:16.000000"</f>
        <v>2005-07-31 14:48:16.000000</v>
      </c>
      <c r="U7" t="str">
        <f t="shared" si="0"/>
        <v>002</v>
      </c>
    </row>
    <row r="8" spans="1:21">
      <c r="A8" t="str">
        <f>"00023973"</f>
        <v>00023973</v>
      </c>
      <c r="B8" t="s">
        <v>21</v>
      </c>
      <c r="C8" t="s">
        <v>52</v>
      </c>
      <c r="F8" t="s">
        <v>53</v>
      </c>
      <c r="G8" t="s">
        <v>54</v>
      </c>
      <c r="J8" t="s">
        <v>26</v>
      </c>
      <c r="Q8" t="s">
        <v>28</v>
      </c>
      <c r="T8" t="str">
        <f>"2003-01-28 15:43:26.000000"</f>
        <v>2003-01-28 15:43:26.000000</v>
      </c>
      <c r="U8" t="str">
        <f t="shared" si="0"/>
        <v>002</v>
      </c>
    </row>
    <row r="9" spans="1:21">
      <c r="A9" t="str">
        <f>"00023974"</f>
        <v>00023974</v>
      </c>
      <c r="B9" t="s">
        <v>21</v>
      </c>
      <c r="C9" t="s">
        <v>52</v>
      </c>
      <c r="F9" t="s">
        <v>55</v>
      </c>
      <c r="G9" t="s">
        <v>54</v>
      </c>
      <c r="J9" t="s">
        <v>26</v>
      </c>
      <c r="Q9" t="s">
        <v>28</v>
      </c>
      <c r="T9" t="str">
        <f>"2003-01-28 15:43:26.000000"</f>
        <v>2003-01-28 15:43:26.000000</v>
      </c>
      <c r="U9" t="str">
        <f t="shared" si="0"/>
        <v>002</v>
      </c>
    </row>
    <row r="10" spans="1:21">
      <c r="A10" t="str">
        <f>"00023975"</f>
        <v>00023975</v>
      </c>
      <c r="B10" t="s">
        <v>21</v>
      </c>
      <c r="C10" t="s">
        <v>56</v>
      </c>
      <c r="D10" t="s">
        <v>57</v>
      </c>
      <c r="F10" t="s">
        <v>58</v>
      </c>
      <c r="G10" t="s">
        <v>59</v>
      </c>
      <c r="J10" t="s">
        <v>60</v>
      </c>
      <c r="Q10" t="s">
        <v>28</v>
      </c>
      <c r="T10" t="str">
        <f>"2005-10-24 10:26:26.000000"</f>
        <v>2005-10-24 10:26:26.000000</v>
      </c>
      <c r="U10" t="str">
        <f t="shared" si="0"/>
        <v>002</v>
      </c>
    </row>
    <row r="11" spans="1:21">
      <c r="A11" t="str">
        <f>"00023977"</f>
        <v>00023977</v>
      </c>
      <c r="B11" t="s">
        <v>21</v>
      </c>
      <c r="C11" t="s">
        <v>61</v>
      </c>
      <c r="D11" t="s">
        <v>62</v>
      </c>
      <c r="F11" t="s">
        <v>63</v>
      </c>
      <c r="G11" t="s">
        <v>64</v>
      </c>
      <c r="J11" t="s">
        <v>26</v>
      </c>
      <c r="Q11" t="s">
        <v>28</v>
      </c>
      <c r="T11" t="str">
        <f t="shared" ref="T11:T54" si="1">"2003-01-28 15:43:26.000000"</f>
        <v>2003-01-28 15:43:26.000000</v>
      </c>
      <c r="U11" t="str">
        <f t="shared" si="0"/>
        <v>002</v>
      </c>
    </row>
    <row r="12" spans="1:21">
      <c r="A12" t="str">
        <f>"00023978"</f>
        <v>00023978</v>
      </c>
      <c r="B12" t="s">
        <v>21</v>
      </c>
      <c r="C12" t="s">
        <v>61</v>
      </c>
      <c r="D12" t="s">
        <v>62</v>
      </c>
      <c r="F12" t="s">
        <v>65</v>
      </c>
      <c r="G12" t="s">
        <v>64</v>
      </c>
      <c r="J12" t="s">
        <v>26</v>
      </c>
      <c r="Q12" t="s">
        <v>28</v>
      </c>
      <c r="T12" t="str">
        <f t="shared" si="1"/>
        <v>2003-01-28 15:43:26.000000</v>
      </c>
      <c r="U12" t="str">
        <f t="shared" si="0"/>
        <v>002</v>
      </c>
    </row>
    <row r="13" spans="1:21">
      <c r="A13" t="str">
        <f>"00024011"</f>
        <v>00024011</v>
      </c>
      <c r="B13" t="s">
        <v>21</v>
      </c>
      <c r="C13" t="s">
        <v>66</v>
      </c>
      <c r="F13" t="s">
        <v>67</v>
      </c>
      <c r="G13" t="s">
        <v>68</v>
      </c>
      <c r="H13" t="s">
        <v>69</v>
      </c>
      <c r="J13" t="s">
        <v>26</v>
      </c>
      <c r="Q13" t="s">
        <v>28</v>
      </c>
      <c r="T13" t="str">
        <f t="shared" si="1"/>
        <v>2003-01-28 15:43:26.000000</v>
      </c>
      <c r="U13" t="str">
        <f t="shared" si="0"/>
        <v>002</v>
      </c>
    </row>
    <row r="14" spans="1:21">
      <c r="A14" t="str">
        <f>"00024013"</f>
        <v>00024013</v>
      </c>
      <c r="B14" t="s">
        <v>21</v>
      </c>
      <c r="C14" t="s">
        <v>70</v>
      </c>
      <c r="D14" t="s">
        <v>71</v>
      </c>
      <c r="F14" t="s">
        <v>72</v>
      </c>
      <c r="G14" t="s">
        <v>73</v>
      </c>
      <c r="J14" t="s">
        <v>26</v>
      </c>
      <c r="Q14" t="s">
        <v>28</v>
      </c>
      <c r="T14" t="str">
        <f t="shared" si="1"/>
        <v>2003-01-28 15:43:26.000000</v>
      </c>
      <c r="U14" t="str">
        <f t="shared" si="0"/>
        <v>002</v>
      </c>
    </row>
    <row r="15" spans="1:21">
      <c r="A15" t="str">
        <f>"00024015"</f>
        <v>00024015</v>
      </c>
      <c r="B15" t="s">
        <v>21</v>
      </c>
      <c r="C15" t="s">
        <v>66</v>
      </c>
      <c r="F15" t="s">
        <v>74</v>
      </c>
      <c r="G15" t="s">
        <v>75</v>
      </c>
      <c r="J15" t="s">
        <v>26</v>
      </c>
      <c r="Q15" t="s">
        <v>28</v>
      </c>
      <c r="T15" t="str">
        <f t="shared" si="1"/>
        <v>2003-01-28 15:43:26.000000</v>
      </c>
      <c r="U15" t="str">
        <f t="shared" si="0"/>
        <v>002</v>
      </c>
    </row>
    <row r="16" spans="1:21">
      <c r="A16" t="str">
        <f>"00024017"</f>
        <v>00024017</v>
      </c>
      <c r="B16" t="s">
        <v>21</v>
      </c>
      <c r="C16" t="s">
        <v>76</v>
      </c>
      <c r="F16" t="s">
        <v>77</v>
      </c>
      <c r="G16" t="s">
        <v>78</v>
      </c>
      <c r="H16" t="s">
        <v>79</v>
      </c>
      <c r="J16" t="s">
        <v>26</v>
      </c>
      <c r="Q16" t="s">
        <v>28</v>
      </c>
      <c r="T16" t="str">
        <f t="shared" si="1"/>
        <v>2003-01-28 15:43:26.000000</v>
      </c>
      <c r="U16" t="str">
        <f t="shared" si="0"/>
        <v>002</v>
      </c>
    </row>
    <row r="17" spans="1:21">
      <c r="A17" t="str">
        <f>"00024018"</f>
        <v>00024018</v>
      </c>
      <c r="B17" t="s">
        <v>21</v>
      </c>
      <c r="C17" t="s">
        <v>76</v>
      </c>
      <c r="F17" t="s">
        <v>80</v>
      </c>
      <c r="G17" t="s">
        <v>81</v>
      </c>
      <c r="H17" t="s">
        <v>82</v>
      </c>
      <c r="J17" t="s">
        <v>26</v>
      </c>
      <c r="Q17" t="s">
        <v>28</v>
      </c>
      <c r="T17" t="str">
        <f t="shared" si="1"/>
        <v>2003-01-28 15:43:26.000000</v>
      </c>
      <c r="U17" t="str">
        <f t="shared" si="0"/>
        <v>002</v>
      </c>
    </row>
    <row r="18" spans="1:21">
      <c r="A18" t="str">
        <f>"00024027"</f>
        <v>00024027</v>
      </c>
      <c r="B18" t="s">
        <v>21</v>
      </c>
      <c r="C18" t="s">
        <v>66</v>
      </c>
      <c r="F18" t="s">
        <v>83</v>
      </c>
      <c r="G18" t="s">
        <v>84</v>
      </c>
      <c r="H18" t="s">
        <v>64</v>
      </c>
      <c r="J18" t="s">
        <v>26</v>
      </c>
      <c r="Q18" t="s">
        <v>28</v>
      </c>
      <c r="T18" t="str">
        <f t="shared" si="1"/>
        <v>2003-01-28 15:43:26.000000</v>
      </c>
      <c r="U18" t="str">
        <f t="shared" si="0"/>
        <v>002</v>
      </c>
    </row>
    <row r="19" spans="1:21">
      <c r="A19" t="str">
        <f>"00024032"</f>
        <v>00024032</v>
      </c>
      <c r="B19" t="s">
        <v>21</v>
      </c>
      <c r="C19" t="s">
        <v>85</v>
      </c>
      <c r="D19" t="s">
        <v>86</v>
      </c>
      <c r="F19" t="s">
        <v>87</v>
      </c>
      <c r="G19" t="s">
        <v>88</v>
      </c>
      <c r="H19" t="s">
        <v>64</v>
      </c>
      <c r="J19" t="s">
        <v>26</v>
      </c>
      <c r="Q19" t="s">
        <v>28</v>
      </c>
      <c r="T19" t="str">
        <f t="shared" si="1"/>
        <v>2003-01-28 15:43:26.000000</v>
      </c>
      <c r="U19" t="str">
        <f t="shared" si="0"/>
        <v>002</v>
      </c>
    </row>
    <row r="20" spans="1:21">
      <c r="A20" t="str">
        <f>"00024036"</f>
        <v>00024036</v>
      </c>
      <c r="B20" t="s">
        <v>21</v>
      </c>
      <c r="C20" t="s">
        <v>70</v>
      </c>
      <c r="D20" t="s">
        <v>71</v>
      </c>
      <c r="F20" t="s">
        <v>89</v>
      </c>
      <c r="G20" t="s">
        <v>90</v>
      </c>
      <c r="H20" t="s">
        <v>91</v>
      </c>
      <c r="J20" t="s">
        <v>26</v>
      </c>
      <c r="Q20" t="s">
        <v>28</v>
      </c>
      <c r="T20" t="str">
        <f t="shared" si="1"/>
        <v>2003-01-28 15:43:26.000000</v>
      </c>
      <c r="U20" t="str">
        <f t="shared" si="0"/>
        <v>002</v>
      </c>
    </row>
    <row r="21" spans="1:21">
      <c r="A21" t="str">
        <f>"00024054"</f>
        <v>00024054</v>
      </c>
      <c r="B21" t="s">
        <v>21</v>
      </c>
      <c r="C21" t="s">
        <v>76</v>
      </c>
      <c r="D21" t="s">
        <v>92</v>
      </c>
      <c r="F21" t="s">
        <v>93</v>
      </c>
      <c r="G21" t="s">
        <v>94</v>
      </c>
      <c r="H21" t="s">
        <v>95</v>
      </c>
      <c r="J21" t="s">
        <v>26</v>
      </c>
      <c r="Q21" t="s">
        <v>28</v>
      </c>
      <c r="T21" t="str">
        <f t="shared" si="1"/>
        <v>2003-01-28 15:43:26.000000</v>
      </c>
      <c r="U21" t="str">
        <f t="shared" si="0"/>
        <v>002</v>
      </c>
    </row>
    <row r="22" spans="1:21">
      <c r="A22" t="str">
        <f>"00024055"</f>
        <v>00024055</v>
      </c>
      <c r="B22" t="s">
        <v>21</v>
      </c>
      <c r="C22" t="s">
        <v>96</v>
      </c>
      <c r="F22" t="s">
        <v>97</v>
      </c>
      <c r="G22" t="s">
        <v>98</v>
      </c>
      <c r="H22" t="s">
        <v>64</v>
      </c>
      <c r="J22" t="s">
        <v>26</v>
      </c>
      <c r="Q22" t="s">
        <v>28</v>
      </c>
      <c r="T22" t="str">
        <f t="shared" si="1"/>
        <v>2003-01-28 15:43:26.000000</v>
      </c>
      <c r="U22" t="str">
        <f t="shared" si="0"/>
        <v>002</v>
      </c>
    </row>
    <row r="23" spans="1:21">
      <c r="A23" t="str">
        <f>"00024062"</f>
        <v>00024062</v>
      </c>
      <c r="B23" t="s">
        <v>21</v>
      </c>
      <c r="C23" t="s">
        <v>99</v>
      </c>
      <c r="D23" t="s">
        <v>100</v>
      </c>
      <c r="F23" t="s">
        <v>101</v>
      </c>
      <c r="G23" t="s">
        <v>102</v>
      </c>
      <c r="J23" t="s">
        <v>26</v>
      </c>
      <c r="Q23" t="s">
        <v>28</v>
      </c>
      <c r="T23" t="str">
        <f t="shared" si="1"/>
        <v>2003-01-28 15:43:26.000000</v>
      </c>
      <c r="U23" t="str">
        <f t="shared" si="0"/>
        <v>002</v>
      </c>
    </row>
    <row r="24" spans="1:21">
      <c r="A24" t="str">
        <f>"00024063"</f>
        <v>00024063</v>
      </c>
      <c r="B24" t="s">
        <v>21</v>
      </c>
      <c r="C24" t="s">
        <v>99</v>
      </c>
      <c r="D24" t="s">
        <v>100</v>
      </c>
      <c r="F24" t="s">
        <v>103</v>
      </c>
      <c r="G24" t="s">
        <v>104</v>
      </c>
      <c r="J24" t="s">
        <v>26</v>
      </c>
      <c r="Q24" t="s">
        <v>28</v>
      </c>
      <c r="T24" t="str">
        <f t="shared" si="1"/>
        <v>2003-01-28 15:43:26.000000</v>
      </c>
      <c r="U24" t="str">
        <f t="shared" si="0"/>
        <v>002</v>
      </c>
    </row>
    <row r="25" spans="1:21">
      <c r="A25" t="str">
        <f>"00024064"</f>
        <v>00024064</v>
      </c>
      <c r="B25" t="s">
        <v>21</v>
      </c>
      <c r="C25" t="s">
        <v>99</v>
      </c>
      <c r="D25" t="s">
        <v>100</v>
      </c>
      <c r="F25" t="s">
        <v>105</v>
      </c>
      <c r="G25" t="s">
        <v>104</v>
      </c>
      <c r="J25" t="s">
        <v>26</v>
      </c>
      <c r="Q25" t="s">
        <v>28</v>
      </c>
      <c r="T25" t="str">
        <f t="shared" si="1"/>
        <v>2003-01-28 15:43:26.000000</v>
      </c>
      <c r="U25" t="str">
        <f t="shared" si="0"/>
        <v>002</v>
      </c>
    </row>
    <row r="26" spans="1:21">
      <c r="A26" t="str">
        <f>"00024066"</f>
        <v>00024066</v>
      </c>
      <c r="B26" t="s">
        <v>21</v>
      </c>
      <c r="C26" t="s">
        <v>76</v>
      </c>
      <c r="D26" t="s">
        <v>92</v>
      </c>
      <c r="F26" t="s">
        <v>106</v>
      </c>
      <c r="G26" t="s">
        <v>107</v>
      </c>
      <c r="J26" t="s">
        <v>26</v>
      </c>
      <c r="Q26" t="s">
        <v>28</v>
      </c>
      <c r="T26" t="str">
        <f t="shared" si="1"/>
        <v>2003-01-28 15:43:26.000000</v>
      </c>
      <c r="U26" t="str">
        <f t="shared" si="0"/>
        <v>002</v>
      </c>
    </row>
    <row r="27" spans="1:21">
      <c r="A27" t="str">
        <f>"00024067"</f>
        <v>00024067</v>
      </c>
      <c r="B27" t="s">
        <v>21</v>
      </c>
      <c r="C27" t="s">
        <v>96</v>
      </c>
      <c r="F27" t="s">
        <v>108</v>
      </c>
      <c r="G27" t="s">
        <v>68</v>
      </c>
      <c r="H27" t="s">
        <v>69</v>
      </c>
      <c r="J27" t="s">
        <v>26</v>
      </c>
      <c r="Q27" t="s">
        <v>28</v>
      </c>
      <c r="T27" t="str">
        <f t="shared" si="1"/>
        <v>2003-01-28 15:43:26.000000</v>
      </c>
      <c r="U27" t="str">
        <f t="shared" si="0"/>
        <v>002</v>
      </c>
    </row>
    <row r="28" spans="1:21">
      <c r="A28" t="str">
        <f>"00024074"</f>
        <v>00024074</v>
      </c>
      <c r="B28" t="s">
        <v>21</v>
      </c>
      <c r="C28" t="s">
        <v>66</v>
      </c>
      <c r="F28" t="s">
        <v>109</v>
      </c>
      <c r="G28" t="s">
        <v>110</v>
      </c>
      <c r="H28" t="s">
        <v>64</v>
      </c>
      <c r="J28" t="s">
        <v>26</v>
      </c>
      <c r="Q28" t="s">
        <v>28</v>
      </c>
      <c r="T28" t="str">
        <f t="shared" si="1"/>
        <v>2003-01-28 15:43:26.000000</v>
      </c>
      <c r="U28" t="str">
        <f t="shared" si="0"/>
        <v>002</v>
      </c>
    </row>
    <row r="29" spans="1:21">
      <c r="A29" t="str">
        <f>"00024095"</f>
        <v>00024095</v>
      </c>
      <c r="B29" t="s">
        <v>21</v>
      </c>
      <c r="C29" t="s">
        <v>66</v>
      </c>
      <c r="F29" t="s">
        <v>108</v>
      </c>
      <c r="G29" t="s">
        <v>111</v>
      </c>
      <c r="J29" t="s">
        <v>26</v>
      </c>
      <c r="Q29" t="s">
        <v>28</v>
      </c>
      <c r="T29" t="str">
        <f t="shared" si="1"/>
        <v>2003-01-28 15:43:26.000000</v>
      </c>
      <c r="U29" t="str">
        <f t="shared" si="0"/>
        <v>002</v>
      </c>
    </row>
    <row r="30" spans="1:21">
      <c r="A30" t="str">
        <f>"00024097"</f>
        <v>00024097</v>
      </c>
      <c r="B30" t="s">
        <v>21</v>
      </c>
      <c r="C30" t="s">
        <v>112</v>
      </c>
      <c r="D30" t="s">
        <v>113</v>
      </c>
      <c r="F30" t="s">
        <v>114</v>
      </c>
      <c r="J30" t="s">
        <v>26</v>
      </c>
      <c r="Q30" t="s">
        <v>28</v>
      </c>
      <c r="T30" t="str">
        <f t="shared" si="1"/>
        <v>2003-01-28 15:43:26.000000</v>
      </c>
      <c r="U30" t="str">
        <f t="shared" si="0"/>
        <v>002</v>
      </c>
    </row>
    <row r="31" spans="1:21">
      <c r="A31" t="str">
        <f>"00024098"</f>
        <v>00024098</v>
      </c>
      <c r="B31" t="s">
        <v>21</v>
      </c>
      <c r="C31" t="s">
        <v>112</v>
      </c>
      <c r="D31" t="s">
        <v>113</v>
      </c>
      <c r="F31" t="s">
        <v>115</v>
      </c>
      <c r="J31" t="s">
        <v>26</v>
      </c>
      <c r="Q31" t="s">
        <v>28</v>
      </c>
      <c r="T31" t="str">
        <f t="shared" si="1"/>
        <v>2003-01-28 15:43:26.000000</v>
      </c>
      <c r="U31" t="str">
        <f t="shared" si="0"/>
        <v>002</v>
      </c>
    </row>
    <row r="32" spans="1:21">
      <c r="A32" t="str">
        <f>"00024099"</f>
        <v>00024099</v>
      </c>
      <c r="B32" t="s">
        <v>21</v>
      </c>
      <c r="C32" t="s">
        <v>112</v>
      </c>
      <c r="D32" t="s">
        <v>113</v>
      </c>
      <c r="F32" t="s">
        <v>114</v>
      </c>
      <c r="J32" t="s">
        <v>26</v>
      </c>
      <c r="Q32" t="s">
        <v>28</v>
      </c>
      <c r="T32" t="str">
        <f t="shared" si="1"/>
        <v>2003-01-28 15:43:26.000000</v>
      </c>
      <c r="U32" t="str">
        <f t="shared" si="0"/>
        <v>002</v>
      </c>
    </row>
    <row r="33" spans="1:21">
      <c r="A33" t="str">
        <f>"00024107"</f>
        <v>00024107</v>
      </c>
      <c r="B33" t="s">
        <v>21</v>
      </c>
      <c r="C33" t="s">
        <v>76</v>
      </c>
      <c r="D33" t="s">
        <v>92</v>
      </c>
      <c r="F33" t="s">
        <v>116</v>
      </c>
      <c r="G33" t="s">
        <v>117</v>
      </c>
      <c r="J33" t="s">
        <v>26</v>
      </c>
      <c r="Q33" t="s">
        <v>28</v>
      </c>
      <c r="T33" t="str">
        <f t="shared" si="1"/>
        <v>2003-01-28 15:43:26.000000</v>
      </c>
      <c r="U33" t="str">
        <f t="shared" si="0"/>
        <v>002</v>
      </c>
    </row>
    <row r="34" spans="1:21">
      <c r="A34" t="str">
        <f>"00024110"</f>
        <v>00024110</v>
      </c>
      <c r="B34" t="s">
        <v>21</v>
      </c>
      <c r="C34" t="s">
        <v>66</v>
      </c>
      <c r="F34" t="s">
        <v>118</v>
      </c>
      <c r="G34" t="s">
        <v>119</v>
      </c>
      <c r="J34" t="s">
        <v>26</v>
      </c>
      <c r="Q34" t="s">
        <v>28</v>
      </c>
      <c r="T34" t="str">
        <f t="shared" si="1"/>
        <v>2003-01-28 15:43:26.000000</v>
      </c>
      <c r="U34" t="str">
        <f t="shared" si="0"/>
        <v>002</v>
      </c>
    </row>
    <row r="35" spans="1:21">
      <c r="A35" t="str">
        <f>"00024111"</f>
        <v>00024111</v>
      </c>
      <c r="B35" t="s">
        <v>21</v>
      </c>
      <c r="C35" t="s">
        <v>120</v>
      </c>
      <c r="F35" t="s">
        <v>121</v>
      </c>
      <c r="G35" t="s">
        <v>122</v>
      </c>
      <c r="J35" t="s">
        <v>26</v>
      </c>
      <c r="Q35" t="s">
        <v>28</v>
      </c>
      <c r="T35" t="str">
        <f t="shared" si="1"/>
        <v>2003-01-28 15:43:26.000000</v>
      </c>
      <c r="U35" t="str">
        <f t="shared" si="0"/>
        <v>002</v>
      </c>
    </row>
    <row r="36" spans="1:21">
      <c r="A36" t="str">
        <f>"00024112"</f>
        <v>00024112</v>
      </c>
      <c r="B36" t="s">
        <v>21</v>
      </c>
      <c r="C36" t="s">
        <v>120</v>
      </c>
      <c r="F36" t="s">
        <v>123</v>
      </c>
      <c r="G36" t="s">
        <v>124</v>
      </c>
      <c r="J36" t="s">
        <v>26</v>
      </c>
      <c r="Q36" t="s">
        <v>28</v>
      </c>
      <c r="T36" t="str">
        <f t="shared" si="1"/>
        <v>2003-01-28 15:43:26.000000</v>
      </c>
      <c r="U36" t="str">
        <f t="shared" si="0"/>
        <v>002</v>
      </c>
    </row>
    <row r="37" spans="1:21">
      <c r="A37" t="str">
        <f>"00024131"</f>
        <v>00024131</v>
      </c>
      <c r="B37" t="s">
        <v>21</v>
      </c>
      <c r="C37" t="s">
        <v>76</v>
      </c>
      <c r="F37" t="s">
        <v>125</v>
      </c>
      <c r="G37" t="s">
        <v>126</v>
      </c>
      <c r="H37" t="s">
        <v>127</v>
      </c>
      <c r="J37" t="s">
        <v>26</v>
      </c>
      <c r="Q37" t="s">
        <v>28</v>
      </c>
      <c r="T37" t="str">
        <f t="shared" si="1"/>
        <v>2003-01-28 15:43:26.000000</v>
      </c>
      <c r="U37" t="str">
        <f t="shared" si="0"/>
        <v>002</v>
      </c>
    </row>
    <row r="38" spans="1:21">
      <c r="A38" t="str">
        <f>"00024133"</f>
        <v>00024133</v>
      </c>
      <c r="B38" t="s">
        <v>21</v>
      </c>
      <c r="C38" t="s">
        <v>66</v>
      </c>
      <c r="F38" t="s">
        <v>108</v>
      </c>
      <c r="G38" t="s">
        <v>128</v>
      </c>
      <c r="H38" t="s">
        <v>95</v>
      </c>
      <c r="J38" t="s">
        <v>26</v>
      </c>
      <c r="Q38" t="s">
        <v>28</v>
      </c>
      <c r="T38" t="str">
        <f t="shared" si="1"/>
        <v>2003-01-28 15:43:26.000000</v>
      </c>
      <c r="U38" t="str">
        <f t="shared" ref="U38:U64" si="2">"002"</f>
        <v>002</v>
      </c>
    </row>
    <row r="39" spans="1:21">
      <c r="A39" t="str">
        <f>"00024160"</f>
        <v>00024160</v>
      </c>
      <c r="B39" t="s">
        <v>21</v>
      </c>
      <c r="C39" t="s">
        <v>129</v>
      </c>
      <c r="F39" t="s">
        <v>130</v>
      </c>
      <c r="G39" t="s">
        <v>131</v>
      </c>
      <c r="H39" t="s">
        <v>64</v>
      </c>
      <c r="J39" t="s">
        <v>26</v>
      </c>
      <c r="Q39" t="s">
        <v>28</v>
      </c>
      <c r="T39" t="str">
        <f t="shared" si="1"/>
        <v>2003-01-28 15:43:26.000000</v>
      </c>
      <c r="U39" t="str">
        <f t="shared" si="2"/>
        <v>002</v>
      </c>
    </row>
    <row r="40" spans="1:21">
      <c r="A40" t="str">
        <f>"00024187"</f>
        <v>00024187</v>
      </c>
      <c r="B40" t="s">
        <v>21</v>
      </c>
      <c r="C40" t="s">
        <v>132</v>
      </c>
      <c r="F40" t="s">
        <v>133</v>
      </c>
      <c r="G40" t="s">
        <v>134</v>
      </c>
      <c r="H40" t="s">
        <v>64</v>
      </c>
      <c r="J40" t="s">
        <v>26</v>
      </c>
      <c r="Q40" t="s">
        <v>28</v>
      </c>
      <c r="T40" t="str">
        <f t="shared" si="1"/>
        <v>2003-01-28 15:43:26.000000</v>
      </c>
      <c r="U40" t="str">
        <f t="shared" si="2"/>
        <v>002</v>
      </c>
    </row>
    <row r="41" spans="1:21">
      <c r="A41" t="str">
        <f>"00024194"</f>
        <v>00024194</v>
      </c>
      <c r="B41" t="s">
        <v>21</v>
      </c>
      <c r="C41" t="s">
        <v>132</v>
      </c>
      <c r="F41" t="s">
        <v>135</v>
      </c>
      <c r="G41" t="s">
        <v>136</v>
      </c>
      <c r="J41" t="s">
        <v>26</v>
      </c>
      <c r="Q41" t="s">
        <v>28</v>
      </c>
      <c r="T41" t="str">
        <f t="shared" si="1"/>
        <v>2003-01-28 15:43:26.000000</v>
      </c>
      <c r="U41" t="str">
        <f t="shared" si="2"/>
        <v>002</v>
      </c>
    </row>
    <row r="42" spans="1:21">
      <c r="A42" t="str">
        <f>"00024226"</f>
        <v>00024226</v>
      </c>
      <c r="B42" t="s">
        <v>21</v>
      </c>
      <c r="C42" t="s">
        <v>137</v>
      </c>
      <c r="F42" t="s">
        <v>138</v>
      </c>
      <c r="G42" t="s">
        <v>139</v>
      </c>
      <c r="H42" t="s">
        <v>64</v>
      </c>
      <c r="J42" t="s">
        <v>26</v>
      </c>
      <c r="Q42" t="s">
        <v>28</v>
      </c>
      <c r="T42" t="str">
        <f t="shared" si="1"/>
        <v>2003-01-28 15:43:26.000000</v>
      </c>
      <c r="U42" t="str">
        <f t="shared" si="2"/>
        <v>002</v>
      </c>
    </row>
    <row r="43" spans="1:21">
      <c r="A43" t="str">
        <f>"00024227"</f>
        <v>00024227</v>
      </c>
      <c r="B43" t="s">
        <v>21</v>
      </c>
      <c r="C43" t="s">
        <v>137</v>
      </c>
      <c r="F43" t="s">
        <v>138</v>
      </c>
      <c r="G43" t="s">
        <v>140</v>
      </c>
      <c r="H43" t="s">
        <v>64</v>
      </c>
      <c r="J43" t="s">
        <v>26</v>
      </c>
      <c r="Q43" t="s">
        <v>28</v>
      </c>
      <c r="T43" t="str">
        <f t="shared" si="1"/>
        <v>2003-01-28 15:43:26.000000</v>
      </c>
      <c r="U43" t="str">
        <f t="shared" si="2"/>
        <v>002</v>
      </c>
    </row>
    <row r="44" spans="1:21">
      <c r="A44" t="str">
        <f>"00024228"</f>
        <v>00024228</v>
      </c>
      <c r="B44" t="s">
        <v>21</v>
      </c>
      <c r="C44" t="s">
        <v>137</v>
      </c>
      <c r="F44" t="s">
        <v>138</v>
      </c>
      <c r="G44" t="s">
        <v>141</v>
      </c>
      <c r="J44" t="s">
        <v>26</v>
      </c>
      <c r="Q44" t="s">
        <v>28</v>
      </c>
      <c r="T44" t="str">
        <f t="shared" si="1"/>
        <v>2003-01-28 15:43:26.000000</v>
      </c>
      <c r="U44" t="str">
        <f t="shared" si="2"/>
        <v>002</v>
      </c>
    </row>
    <row r="45" spans="1:21">
      <c r="A45" t="str">
        <f>"00024255"</f>
        <v>00024255</v>
      </c>
      <c r="B45" t="s">
        <v>21</v>
      </c>
      <c r="C45" t="s">
        <v>142</v>
      </c>
      <c r="D45" t="s">
        <v>143</v>
      </c>
      <c r="F45" t="s">
        <v>144</v>
      </c>
      <c r="G45" t="s">
        <v>145</v>
      </c>
      <c r="H45" t="s">
        <v>69</v>
      </c>
      <c r="J45" t="s">
        <v>26</v>
      </c>
      <c r="Q45" t="s">
        <v>28</v>
      </c>
      <c r="T45" t="str">
        <f t="shared" si="1"/>
        <v>2003-01-28 15:43:26.000000</v>
      </c>
      <c r="U45" t="str">
        <f t="shared" si="2"/>
        <v>002</v>
      </c>
    </row>
    <row r="46" spans="1:21">
      <c r="A46" t="str">
        <f>"00024256"</f>
        <v>00024256</v>
      </c>
      <c r="B46" t="s">
        <v>21</v>
      </c>
      <c r="C46" t="s">
        <v>142</v>
      </c>
      <c r="D46" t="s">
        <v>143</v>
      </c>
      <c r="F46" t="s">
        <v>146</v>
      </c>
      <c r="G46" t="s">
        <v>147</v>
      </c>
      <c r="H46" t="s">
        <v>69</v>
      </c>
      <c r="J46" t="s">
        <v>26</v>
      </c>
      <c r="Q46" t="s">
        <v>28</v>
      </c>
      <c r="T46" t="str">
        <f t="shared" si="1"/>
        <v>2003-01-28 15:43:26.000000</v>
      </c>
      <c r="U46" t="str">
        <f t="shared" si="2"/>
        <v>002</v>
      </c>
    </row>
    <row r="47" spans="1:21">
      <c r="A47" t="str">
        <f>"00024257"</f>
        <v>00024257</v>
      </c>
      <c r="B47" t="s">
        <v>21</v>
      </c>
      <c r="C47" t="s">
        <v>142</v>
      </c>
      <c r="D47" t="s">
        <v>143</v>
      </c>
      <c r="F47" t="s">
        <v>146</v>
      </c>
      <c r="G47" t="s">
        <v>147</v>
      </c>
      <c r="H47" t="s">
        <v>69</v>
      </c>
      <c r="J47" t="s">
        <v>26</v>
      </c>
      <c r="Q47" t="s">
        <v>28</v>
      </c>
      <c r="T47" t="str">
        <f t="shared" si="1"/>
        <v>2003-01-28 15:43:26.000000</v>
      </c>
      <c r="U47" t="str">
        <f t="shared" si="2"/>
        <v>002</v>
      </c>
    </row>
    <row r="48" spans="1:21">
      <c r="A48" t="str">
        <f>"00024258"</f>
        <v>00024258</v>
      </c>
      <c r="B48" t="s">
        <v>21</v>
      </c>
      <c r="C48" t="s">
        <v>142</v>
      </c>
      <c r="D48" t="s">
        <v>143</v>
      </c>
      <c r="F48" t="s">
        <v>146</v>
      </c>
      <c r="G48" t="s">
        <v>147</v>
      </c>
      <c r="H48" t="s">
        <v>69</v>
      </c>
      <c r="J48" t="s">
        <v>26</v>
      </c>
      <c r="Q48" t="s">
        <v>28</v>
      </c>
      <c r="T48" t="str">
        <f t="shared" si="1"/>
        <v>2003-01-28 15:43:26.000000</v>
      </c>
      <c r="U48" t="str">
        <f t="shared" si="2"/>
        <v>002</v>
      </c>
    </row>
    <row r="49" spans="1:21">
      <c r="A49" t="str">
        <f>"00024259"</f>
        <v>00024259</v>
      </c>
      <c r="B49" t="s">
        <v>21</v>
      </c>
      <c r="C49" t="s">
        <v>142</v>
      </c>
      <c r="D49" t="s">
        <v>143</v>
      </c>
      <c r="F49" t="s">
        <v>146</v>
      </c>
      <c r="G49" t="s">
        <v>147</v>
      </c>
      <c r="H49" t="s">
        <v>69</v>
      </c>
      <c r="J49" t="s">
        <v>26</v>
      </c>
      <c r="Q49" t="s">
        <v>28</v>
      </c>
      <c r="T49" t="str">
        <f t="shared" si="1"/>
        <v>2003-01-28 15:43:26.000000</v>
      </c>
      <c r="U49" t="str">
        <f t="shared" si="2"/>
        <v>002</v>
      </c>
    </row>
    <row r="50" spans="1:21">
      <c r="A50" t="str">
        <f>"00024260"</f>
        <v>00024260</v>
      </c>
      <c r="B50" t="s">
        <v>21</v>
      </c>
      <c r="C50" t="s">
        <v>142</v>
      </c>
      <c r="D50" t="s">
        <v>143</v>
      </c>
      <c r="F50" t="s">
        <v>146</v>
      </c>
      <c r="G50" t="s">
        <v>147</v>
      </c>
      <c r="H50" t="s">
        <v>69</v>
      </c>
      <c r="J50" t="s">
        <v>26</v>
      </c>
      <c r="Q50" t="s">
        <v>28</v>
      </c>
      <c r="T50" t="str">
        <f t="shared" si="1"/>
        <v>2003-01-28 15:43:26.000000</v>
      </c>
      <c r="U50" t="str">
        <f t="shared" si="2"/>
        <v>002</v>
      </c>
    </row>
    <row r="51" spans="1:21">
      <c r="A51" t="str">
        <f>"00024261"</f>
        <v>00024261</v>
      </c>
      <c r="B51" t="s">
        <v>21</v>
      </c>
      <c r="C51" t="s">
        <v>142</v>
      </c>
      <c r="D51" t="s">
        <v>143</v>
      </c>
      <c r="F51" t="s">
        <v>148</v>
      </c>
      <c r="G51" t="s">
        <v>149</v>
      </c>
      <c r="H51" t="s">
        <v>69</v>
      </c>
      <c r="J51" t="s">
        <v>26</v>
      </c>
      <c r="Q51" t="s">
        <v>28</v>
      </c>
      <c r="T51" t="str">
        <f t="shared" si="1"/>
        <v>2003-01-28 15:43:26.000000</v>
      </c>
      <c r="U51" t="str">
        <f t="shared" si="2"/>
        <v>002</v>
      </c>
    </row>
    <row r="52" spans="1:21">
      <c r="A52" t="str">
        <f>"00024262"</f>
        <v>00024262</v>
      </c>
      <c r="B52" t="s">
        <v>21</v>
      </c>
      <c r="C52" t="s">
        <v>142</v>
      </c>
      <c r="D52" t="s">
        <v>143</v>
      </c>
      <c r="F52" t="s">
        <v>146</v>
      </c>
      <c r="G52" t="s">
        <v>150</v>
      </c>
      <c r="H52" t="s">
        <v>69</v>
      </c>
      <c r="J52" t="s">
        <v>26</v>
      </c>
      <c r="Q52" t="s">
        <v>28</v>
      </c>
      <c r="T52" t="str">
        <f t="shared" si="1"/>
        <v>2003-01-28 15:43:26.000000</v>
      </c>
      <c r="U52" t="str">
        <f t="shared" si="2"/>
        <v>002</v>
      </c>
    </row>
    <row r="53" spans="1:21">
      <c r="A53" t="str">
        <f>"00024263"</f>
        <v>00024263</v>
      </c>
      <c r="B53" t="s">
        <v>21</v>
      </c>
      <c r="C53" t="s">
        <v>142</v>
      </c>
      <c r="D53" t="s">
        <v>143</v>
      </c>
      <c r="F53" t="s">
        <v>151</v>
      </c>
      <c r="G53" t="s">
        <v>147</v>
      </c>
      <c r="H53" t="s">
        <v>69</v>
      </c>
      <c r="J53" t="s">
        <v>26</v>
      </c>
      <c r="Q53" t="s">
        <v>28</v>
      </c>
      <c r="T53" t="str">
        <f t="shared" si="1"/>
        <v>2003-01-28 15:43:26.000000</v>
      </c>
      <c r="U53" t="str">
        <f t="shared" si="2"/>
        <v>002</v>
      </c>
    </row>
    <row r="54" spans="1:21">
      <c r="A54" t="str">
        <f>"00024264"</f>
        <v>00024264</v>
      </c>
      <c r="B54" t="s">
        <v>21</v>
      </c>
      <c r="C54" t="s">
        <v>142</v>
      </c>
      <c r="D54" t="s">
        <v>143</v>
      </c>
      <c r="F54" t="s">
        <v>152</v>
      </c>
      <c r="G54" t="s">
        <v>147</v>
      </c>
      <c r="H54" t="s">
        <v>69</v>
      </c>
      <c r="J54" t="s">
        <v>26</v>
      </c>
      <c r="Q54" t="s">
        <v>28</v>
      </c>
      <c r="T54" t="str">
        <f t="shared" si="1"/>
        <v>2003-01-28 15:43:26.000000</v>
      </c>
      <c r="U54" t="str">
        <f t="shared" si="2"/>
        <v>002</v>
      </c>
    </row>
    <row r="55" spans="1:21">
      <c r="A55" t="str">
        <f>"00024298"</f>
        <v>00024298</v>
      </c>
      <c r="B55" t="s">
        <v>21</v>
      </c>
      <c r="C55" t="s">
        <v>56</v>
      </c>
      <c r="D55" t="s">
        <v>57</v>
      </c>
      <c r="F55" t="s">
        <v>58</v>
      </c>
      <c r="G55" t="s">
        <v>153</v>
      </c>
      <c r="J55" t="s">
        <v>60</v>
      </c>
      <c r="Q55" t="s">
        <v>28</v>
      </c>
      <c r="T55" t="str">
        <f>"2005-10-24 10:22:40.000000"</f>
        <v>2005-10-24 10:22:40.000000</v>
      </c>
      <c r="U55" t="str">
        <f t="shared" si="2"/>
        <v>002</v>
      </c>
    </row>
    <row r="56" spans="1:21">
      <c r="A56" t="str">
        <f>"00024390"</f>
        <v>00024390</v>
      </c>
      <c r="B56" t="s">
        <v>21</v>
      </c>
      <c r="C56" t="s">
        <v>154</v>
      </c>
      <c r="F56" t="s">
        <v>155</v>
      </c>
      <c r="H56" t="s">
        <v>156</v>
      </c>
      <c r="J56" t="s">
        <v>26</v>
      </c>
      <c r="Q56" t="s">
        <v>28</v>
      </c>
      <c r="T56" t="str">
        <f>"2003-01-28 15:43:26.000000"</f>
        <v>2003-01-28 15:43:26.000000</v>
      </c>
      <c r="U56" t="str">
        <f t="shared" si="2"/>
        <v>002</v>
      </c>
    </row>
    <row r="57" spans="1:21">
      <c r="A57" t="str">
        <f>"00024471"</f>
        <v>00024471</v>
      </c>
      <c r="B57" t="s">
        <v>21</v>
      </c>
      <c r="C57" t="s">
        <v>157</v>
      </c>
      <c r="F57" t="s">
        <v>158</v>
      </c>
      <c r="G57" t="s">
        <v>159</v>
      </c>
      <c r="H57" t="s">
        <v>26</v>
      </c>
      <c r="J57" t="s">
        <v>26</v>
      </c>
      <c r="Q57" t="s">
        <v>28</v>
      </c>
      <c r="T57" t="str">
        <f>"2003-01-28 15:43:26.000000"</f>
        <v>2003-01-28 15:43:26.000000</v>
      </c>
      <c r="U57" t="str">
        <f t="shared" si="2"/>
        <v>002</v>
      </c>
    </row>
    <row r="58" spans="1:21">
      <c r="A58" t="str">
        <f>"00024511"</f>
        <v>00024511</v>
      </c>
      <c r="B58" t="s">
        <v>21</v>
      </c>
      <c r="C58" t="s">
        <v>47</v>
      </c>
      <c r="E58" t="str">
        <f>"1969-02-17"</f>
        <v>1969-02-17</v>
      </c>
      <c r="F58" t="s">
        <v>48</v>
      </c>
      <c r="G58" t="s">
        <v>50</v>
      </c>
      <c r="J58" t="s">
        <v>26</v>
      </c>
      <c r="K58" t="str">
        <f>"029881922"</f>
        <v>029881922</v>
      </c>
      <c r="L58" t="str">
        <f>"01716456422"</f>
        <v>01716456422</v>
      </c>
      <c r="M58" t="str">
        <f>"N/A"</f>
        <v>N/A</v>
      </c>
      <c r="N58" t="s">
        <v>160</v>
      </c>
      <c r="O58" t="s">
        <v>161</v>
      </c>
      <c r="Q58" t="s">
        <v>28</v>
      </c>
      <c r="T58" t="str">
        <f>"2005-07-31 14:44:38.000000"</f>
        <v>2005-07-31 14:44:38.000000</v>
      </c>
      <c r="U58" t="str">
        <f t="shared" si="2"/>
        <v>002</v>
      </c>
    </row>
    <row r="59" spans="1:21">
      <c r="A59" t="str">
        <f>"00024770"</f>
        <v>00024770</v>
      </c>
      <c r="B59" t="s">
        <v>21</v>
      </c>
      <c r="C59" t="s">
        <v>162</v>
      </c>
      <c r="F59" t="s">
        <v>163</v>
      </c>
      <c r="G59" t="s">
        <v>164</v>
      </c>
      <c r="H59" t="s">
        <v>50</v>
      </c>
      <c r="J59" t="s">
        <v>26</v>
      </c>
      <c r="K59" t="str">
        <f>"9118295"</f>
        <v>9118295</v>
      </c>
      <c r="N59">
        <v>813488</v>
      </c>
      <c r="O59" t="s">
        <v>165</v>
      </c>
      <c r="Q59" t="s">
        <v>28</v>
      </c>
      <c r="T59" t="str">
        <f>"2004-06-13 11:58:29.000000"</f>
        <v>2004-06-13 11:58:29.000000</v>
      </c>
      <c r="U59" t="str">
        <f t="shared" si="2"/>
        <v>002</v>
      </c>
    </row>
    <row r="60" spans="1:21">
      <c r="A60" t="str">
        <f>"00024778"</f>
        <v>00024778</v>
      </c>
      <c r="B60" t="s">
        <v>21</v>
      </c>
      <c r="C60" t="s">
        <v>166</v>
      </c>
      <c r="F60" t="s">
        <v>167</v>
      </c>
      <c r="G60" t="s">
        <v>164</v>
      </c>
      <c r="H60" t="s">
        <v>50</v>
      </c>
      <c r="J60" t="s">
        <v>26</v>
      </c>
      <c r="K60" t="str">
        <f>"9118295"</f>
        <v>9118295</v>
      </c>
      <c r="N60">
        <v>813488</v>
      </c>
      <c r="O60" t="s">
        <v>165</v>
      </c>
      <c r="Q60" t="s">
        <v>28</v>
      </c>
      <c r="T60" t="str">
        <f>"2004-06-13 11:56:03.000000"</f>
        <v>2004-06-13 11:56:03.000000</v>
      </c>
      <c r="U60" t="str">
        <f t="shared" si="2"/>
        <v>002</v>
      </c>
    </row>
    <row r="61" spans="1:21">
      <c r="A61" t="str">
        <f>"00025266"</f>
        <v>00025266</v>
      </c>
      <c r="B61" t="s">
        <v>21</v>
      </c>
      <c r="C61" t="s">
        <v>85</v>
      </c>
      <c r="D61" t="s">
        <v>86</v>
      </c>
      <c r="F61" t="s">
        <v>168</v>
      </c>
      <c r="G61" t="s">
        <v>169</v>
      </c>
      <c r="H61" t="s">
        <v>26</v>
      </c>
      <c r="J61" t="s">
        <v>26</v>
      </c>
      <c r="Q61" t="s">
        <v>28</v>
      </c>
      <c r="T61" t="str">
        <f>"2003-01-28 15:43:26.000000"</f>
        <v>2003-01-28 15:43:26.000000</v>
      </c>
      <c r="U61" t="str">
        <f t="shared" si="2"/>
        <v>002</v>
      </c>
    </row>
    <row r="62" spans="1:21">
      <c r="A62" t="str">
        <f>"00025465"</f>
        <v>00025465</v>
      </c>
      <c r="B62" t="s">
        <v>21</v>
      </c>
      <c r="C62" t="s">
        <v>170</v>
      </c>
      <c r="D62" t="s">
        <v>92</v>
      </c>
      <c r="F62" t="s">
        <v>171</v>
      </c>
      <c r="G62" t="s">
        <v>172</v>
      </c>
      <c r="H62" t="s">
        <v>173</v>
      </c>
      <c r="J62" t="s">
        <v>26</v>
      </c>
      <c r="Q62" t="s">
        <v>28</v>
      </c>
      <c r="T62" t="str">
        <f>"2003-01-28 15:43:26.000000"</f>
        <v>2003-01-28 15:43:26.000000</v>
      </c>
      <c r="U62" t="str">
        <f t="shared" si="2"/>
        <v>002</v>
      </c>
    </row>
    <row r="63" spans="1:21">
      <c r="A63" t="str">
        <f>"00025602"</f>
        <v>00025602</v>
      </c>
      <c r="B63" t="s">
        <v>21</v>
      </c>
      <c r="C63" t="s">
        <v>154</v>
      </c>
      <c r="F63" t="s">
        <v>171</v>
      </c>
      <c r="G63" t="s">
        <v>174</v>
      </c>
      <c r="H63" t="s">
        <v>175</v>
      </c>
      <c r="J63" t="s">
        <v>26</v>
      </c>
      <c r="Q63" t="s">
        <v>28</v>
      </c>
      <c r="T63" t="str">
        <f>"2003-01-28 15:43:27.000000"</f>
        <v>2003-01-28 15:43:27.000000</v>
      </c>
      <c r="U63" t="str">
        <f t="shared" si="2"/>
        <v>002</v>
      </c>
    </row>
    <row r="64" spans="1:21">
      <c r="A64" t="str">
        <f>"00025831"</f>
        <v>00025831</v>
      </c>
      <c r="B64" t="s">
        <v>21</v>
      </c>
      <c r="C64" t="s">
        <v>176</v>
      </c>
      <c r="F64" t="s">
        <v>177</v>
      </c>
      <c r="G64" t="s">
        <v>178</v>
      </c>
      <c r="J64" t="s">
        <v>26</v>
      </c>
      <c r="Q64" t="s">
        <v>28</v>
      </c>
      <c r="T64" t="str">
        <f>"2004-06-08 09:07:52.000000"</f>
        <v>2004-06-08 09:07:52.000000</v>
      </c>
      <c r="U64" t="str">
        <f t="shared" si="2"/>
        <v>002</v>
      </c>
    </row>
    <row r="65" spans="1:20">
      <c r="A65" t="str">
        <f>"00025989"</f>
        <v>00025989</v>
      </c>
      <c r="B65" t="s">
        <v>21</v>
      </c>
      <c r="C65" t="s">
        <v>179</v>
      </c>
      <c r="D65" t="s">
        <v>180</v>
      </c>
      <c r="F65" t="s">
        <v>181</v>
      </c>
      <c r="J65" t="s">
        <v>26</v>
      </c>
      <c r="K65" t="str">
        <f>"9552244,"</f>
        <v>9552244,</v>
      </c>
      <c r="Q65" t="s">
        <v>28</v>
      </c>
      <c r="R65" t="s">
        <v>29</v>
      </c>
      <c r="T65" t="str">
        <f t="shared" ref="T65:T84" si="3">"2003-02-10 17:45:59.000000"</f>
        <v>2003-02-10 17:45:59.000000</v>
      </c>
    </row>
    <row r="66" spans="1:20">
      <c r="A66" t="str">
        <f>"00026948"</f>
        <v>00026948</v>
      </c>
      <c r="B66" t="s">
        <v>21</v>
      </c>
      <c r="C66" t="s">
        <v>182</v>
      </c>
      <c r="F66" t="s">
        <v>183</v>
      </c>
      <c r="G66" t="s">
        <v>184</v>
      </c>
      <c r="J66" t="s">
        <v>26</v>
      </c>
      <c r="Q66" t="s">
        <v>28</v>
      </c>
      <c r="R66" t="s">
        <v>29</v>
      </c>
      <c r="T66" t="str">
        <f t="shared" si="3"/>
        <v>2003-02-10 17:45:59.000000</v>
      </c>
    </row>
    <row r="67" spans="1:20">
      <c r="A67" t="str">
        <f>"00026968"</f>
        <v>00026968</v>
      </c>
      <c r="B67" t="s">
        <v>21</v>
      </c>
      <c r="C67" t="s">
        <v>185</v>
      </c>
      <c r="F67" t="s">
        <v>186</v>
      </c>
      <c r="J67" t="s">
        <v>26</v>
      </c>
      <c r="Q67" t="s">
        <v>28</v>
      </c>
      <c r="R67" t="s">
        <v>29</v>
      </c>
      <c r="T67" t="str">
        <f t="shared" si="3"/>
        <v>2003-02-10 17:45:59.000000</v>
      </c>
    </row>
    <row r="68" spans="1:20">
      <c r="A68" t="str">
        <f>"00026969"</f>
        <v>00026969</v>
      </c>
      <c r="B68" t="s">
        <v>21</v>
      </c>
      <c r="C68" t="s">
        <v>185</v>
      </c>
      <c r="F68" t="s">
        <v>186</v>
      </c>
      <c r="J68" t="s">
        <v>26</v>
      </c>
      <c r="Q68" t="s">
        <v>28</v>
      </c>
      <c r="R68" t="s">
        <v>29</v>
      </c>
      <c r="T68" t="str">
        <f t="shared" si="3"/>
        <v>2003-02-10 17:45:59.000000</v>
      </c>
    </row>
    <row r="69" spans="1:20">
      <c r="A69" t="str">
        <f>"00026984"</f>
        <v>00026984</v>
      </c>
      <c r="B69" t="s">
        <v>21</v>
      </c>
      <c r="C69" t="s">
        <v>185</v>
      </c>
      <c r="F69" t="s">
        <v>186</v>
      </c>
      <c r="J69" t="s">
        <v>26</v>
      </c>
      <c r="Q69" t="s">
        <v>28</v>
      </c>
      <c r="R69" t="s">
        <v>29</v>
      </c>
      <c r="T69" t="str">
        <f t="shared" si="3"/>
        <v>2003-02-10 17:45:59.000000</v>
      </c>
    </row>
    <row r="70" spans="1:20">
      <c r="A70" t="str">
        <f>"00026985"</f>
        <v>00026985</v>
      </c>
      <c r="B70" t="s">
        <v>21</v>
      </c>
      <c r="C70" t="s">
        <v>185</v>
      </c>
      <c r="F70" t="s">
        <v>187</v>
      </c>
      <c r="J70" t="s">
        <v>26</v>
      </c>
      <c r="Q70" t="s">
        <v>28</v>
      </c>
      <c r="R70" t="s">
        <v>29</v>
      </c>
      <c r="T70" t="str">
        <f t="shared" si="3"/>
        <v>2003-02-10 17:45:59.000000</v>
      </c>
    </row>
    <row r="71" spans="1:20">
      <c r="A71" t="str">
        <f>"00026986"</f>
        <v>00026986</v>
      </c>
      <c r="B71" t="s">
        <v>21</v>
      </c>
      <c r="C71" t="s">
        <v>185</v>
      </c>
      <c r="F71" t="s">
        <v>188</v>
      </c>
      <c r="J71" t="s">
        <v>26</v>
      </c>
      <c r="Q71" t="s">
        <v>28</v>
      </c>
      <c r="R71" t="s">
        <v>29</v>
      </c>
      <c r="T71" t="str">
        <f t="shared" si="3"/>
        <v>2003-02-10 17:45:59.000000</v>
      </c>
    </row>
    <row r="72" spans="1:20">
      <c r="A72" t="str">
        <f>"00026987"</f>
        <v>00026987</v>
      </c>
      <c r="B72" t="s">
        <v>21</v>
      </c>
      <c r="C72" t="s">
        <v>185</v>
      </c>
      <c r="F72" t="s">
        <v>186</v>
      </c>
      <c r="J72" t="s">
        <v>26</v>
      </c>
      <c r="Q72" t="s">
        <v>28</v>
      </c>
      <c r="R72" t="s">
        <v>29</v>
      </c>
      <c r="T72" t="str">
        <f t="shared" si="3"/>
        <v>2003-02-10 17:45:59.000000</v>
      </c>
    </row>
    <row r="73" spans="1:20">
      <c r="A73" t="str">
        <f>"00027000"</f>
        <v>00027000</v>
      </c>
      <c r="B73" t="s">
        <v>21</v>
      </c>
      <c r="C73" t="s">
        <v>185</v>
      </c>
      <c r="F73" t="s">
        <v>189</v>
      </c>
      <c r="J73" t="s">
        <v>26</v>
      </c>
      <c r="Q73" t="s">
        <v>28</v>
      </c>
      <c r="R73" t="s">
        <v>29</v>
      </c>
      <c r="T73" t="str">
        <f t="shared" si="3"/>
        <v>2003-02-10 17:45:59.000000</v>
      </c>
    </row>
    <row r="74" spans="1:20">
      <c r="A74" t="str">
        <f>"00027001"</f>
        <v>00027001</v>
      </c>
      <c r="B74" t="s">
        <v>21</v>
      </c>
      <c r="C74" t="s">
        <v>185</v>
      </c>
      <c r="F74" t="s">
        <v>188</v>
      </c>
      <c r="J74" t="s">
        <v>26</v>
      </c>
      <c r="Q74" t="s">
        <v>28</v>
      </c>
      <c r="R74" t="s">
        <v>29</v>
      </c>
      <c r="T74" t="str">
        <f t="shared" si="3"/>
        <v>2003-02-10 17:45:59.000000</v>
      </c>
    </row>
    <row r="75" spans="1:20">
      <c r="A75" t="str">
        <f>"00027073"</f>
        <v>00027073</v>
      </c>
      <c r="B75" t="s">
        <v>21</v>
      </c>
      <c r="C75" t="s">
        <v>190</v>
      </c>
      <c r="F75" t="s">
        <v>191</v>
      </c>
      <c r="G75" t="s">
        <v>192</v>
      </c>
      <c r="H75" t="s">
        <v>26</v>
      </c>
      <c r="J75" t="s">
        <v>26</v>
      </c>
      <c r="K75" t="str">
        <f>"8117578"</f>
        <v>8117578</v>
      </c>
      <c r="Q75" t="s">
        <v>28</v>
      </c>
      <c r="R75" t="s">
        <v>29</v>
      </c>
      <c r="T75" t="str">
        <f t="shared" si="3"/>
        <v>2003-02-10 17:45:59.000000</v>
      </c>
    </row>
    <row r="76" spans="1:20">
      <c r="A76" t="str">
        <f>"00027169"</f>
        <v>00027169</v>
      </c>
      <c r="B76" t="s">
        <v>21</v>
      </c>
      <c r="C76" t="s">
        <v>193</v>
      </c>
      <c r="F76" t="s">
        <v>194</v>
      </c>
      <c r="G76" t="s">
        <v>26</v>
      </c>
      <c r="J76" t="s">
        <v>26</v>
      </c>
      <c r="Q76" t="s">
        <v>28</v>
      </c>
      <c r="R76" t="s">
        <v>29</v>
      </c>
      <c r="T76" t="str">
        <f t="shared" si="3"/>
        <v>2003-02-10 17:45:59.000000</v>
      </c>
    </row>
    <row r="77" spans="1:20">
      <c r="A77" t="str">
        <f>"00027170"</f>
        <v>00027170</v>
      </c>
      <c r="B77" t="s">
        <v>21</v>
      </c>
      <c r="C77" t="s">
        <v>195</v>
      </c>
      <c r="F77" t="s">
        <v>196</v>
      </c>
      <c r="G77" t="s">
        <v>197</v>
      </c>
      <c r="H77" t="s">
        <v>26</v>
      </c>
      <c r="J77" t="s">
        <v>26</v>
      </c>
      <c r="Q77" t="s">
        <v>28</v>
      </c>
      <c r="R77" t="s">
        <v>29</v>
      </c>
      <c r="T77" t="str">
        <f t="shared" si="3"/>
        <v>2003-02-10 17:45:59.000000</v>
      </c>
    </row>
    <row r="78" spans="1:20">
      <c r="A78" t="str">
        <f>"00027194"</f>
        <v>00027194</v>
      </c>
      <c r="B78" t="s">
        <v>21</v>
      </c>
      <c r="C78" t="s">
        <v>198</v>
      </c>
      <c r="F78" t="s">
        <v>199</v>
      </c>
      <c r="G78" t="s">
        <v>26</v>
      </c>
      <c r="J78" t="s">
        <v>26</v>
      </c>
      <c r="Q78" t="s">
        <v>28</v>
      </c>
      <c r="R78" t="s">
        <v>29</v>
      </c>
      <c r="T78" t="str">
        <f t="shared" si="3"/>
        <v>2003-02-10 17:45:59.000000</v>
      </c>
    </row>
    <row r="79" spans="1:20">
      <c r="A79" t="str">
        <f>"00027195"</f>
        <v>00027195</v>
      </c>
      <c r="B79" t="s">
        <v>21</v>
      </c>
      <c r="C79" t="s">
        <v>198</v>
      </c>
      <c r="F79" t="s">
        <v>200</v>
      </c>
      <c r="G79" t="s">
        <v>26</v>
      </c>
      <c r="J79" t="s">
        <v>26</v>
      </c>
      <c r="Q79" t="s">
        <v>28</v>
      </c>
      <c r="R79" t="s">
        <v>29</v>
      </c>
      <c r="T79" t="str">
        <f t="shared" si="3"/>
        <v>2003-02-10 17:45:59.000000</v>
      </c>
    </row>
    <row r="80" spans="1:20">
      <c r="A80" t="str">
        <f>"00027196"</f>
        <v>00027196</v>
      </c>
      <c r="B80" t="s">
        <v>21</v>
      </c>
      <c r="C80" t="s">
        <v>198</v>
      </c>
      <c r="F80" t="s">
        <v>200</v>
      </c>
      <c r="G80" t="s">
        <v>26</v>
      </c>
      <c r="J80" t="s">
        <v>26</v>
      </c>
      <c r="Q80" t="s">
        <v>28</v>
      </c>
      <c r="R80" t="s">
        <v>29</v>
      </c>
      <c r="T80" t="str">
        <f t="shared" si="3"/>
        <v>2003-02-10 17:45:59.000000</v>
      </c>
    </row>
    <row r="81" spans="1:21">
      <c r="A81" t="str">
        <f>"00027210"</f>
        <v>00027210</v>
      </c>
      <c r="B81" t="s">
        <v>21</v>
      </c>
      <c r="C81" t="s">
        <v>182</v>
      </c>
      <c r="F81" t="s">
        <v>201</v>
      </c>
      <c r="G81" t="s">
        <v>202</v>
      </c>
      <c r="H81" t="s">
        <v>26</v>
      </c>
      <c r="J81" t="s">
        <v>26</v>
      </c>
      <c r="Q81" t="s">
        <v>28</v>
      </c>
      <c r="R81" t="s">
        <v>29</v>
      </c>
      <c r="T81" t="str">
        <f t="shared" si="3"/>
        <v>2003-02-10 17:45:59.000000</v>
      </c>
    </row>
    <row r="82" spans="1:21">
      <c r="A82" t="str">
        <f>"00027226"</f>
        <v>00027226</v>
      </c>
      <c r="B82" t="s">
        <v>21</v>
      </c>
      <c r="C82" t="s">
        <v>203</v>
      </c>
      <c r="F82" t="s">
        <v>204</v>
      </c>
      <c r="G82" t="s">
        <v>202</v>
      </c>
      <c r="H82" t="s">
        <v>26</v>
      </c>
      <c r="J82" t="s">
        <v>26</v>
      </c>
      <c r="Q82" t="s">
        <v>28</v>
      </c>
      <c r="R82" t="s">
        <v>29</v>
      </c>
      <c r="T82" t="str">
        <f t="shared" si="3"/>
        <v>2003-02-10 17:45:59.000000</v>
      </c>
    </row>
    <row r="83" spans="1:21">
      <c r="A83" t="str">
        <f>"00027233"</f>
        <v>00027233</v>
      </c>
      <c r="B83" t="s">
        <v>21</v>
      </c>
      <c r="C83" t="s">
        <v>203</v>
      </c>
      <c r="F83" t="s">
        <v>205</v>
      </c>
      <c r="G83" t="s">
        <v>202</v>
      </c>
      <c r="H83" t="s">
        <v>26</v>
      </c>
      <c r="J83" t="s">
        <v>26</v>
      </c>
      <c r="Q83" t="s">
        <v>28</v>
      </c>
      <c r="R83" t="s">
        <v>29</v>
      </c>
      <c r="T83" t="str">
        <f t="shared" si="3"/>
        <v>2003-02-10 17:45:59.000000</v>
      </c>
    </row>
    <row r="84" spans="1:21">
      <c r="A84" t="str">
        <f>"00027268"</f>
        <v>00027268</v>
      </c>
      <c r="B84" t="s">
        <v>21</v>
      </c>
      <c r="C84" t="s">
        <v>203</v>
      </c>
      <c r="F84" t="s">
        <v>206</v>
      </c>
      <c r="G84" t="s">
        <v>202</v>
      </c>
      <c r="H84" t="s">
        <v>26</v>
      </c>
      <c r="J84" t="s">
        <v>26</v>
      </c>
      <c r="Q84" t="s">
        <v>28</v>
      </c>
      <c r="R84" t="s">
        <v>29</v>
      </c>
      <c r="T84" t="str">
        <f t="shared" si="3"/>
        <v>2003-02-10 17:45:59.000000</v>
      </c>
    </row>
    <row r="85" spans="1:21">
      <c r="A85" t="str">
        <f>"00030947"</f>
        <v>00030947</v>
      </c>
      <c r="B85" t="s">
        <v>21</v>
      </c>
      <c r="C85" t="s">
        <v>207</v>
      </c>
      <c r="F85" t="s">
        <v>208</v>
      </c>
      <c r="G85" t="s">
        <v>209</v>
      </c>
      <c r="H85" t="s">
        <v>210</v>
      </c>
      <c r="J85" t="s">
        <v>210</v>
      </c>
      <c r="Q85" t="s">
        <v>37</v>
      </c>
      <c r="R85" t="s">
        <v>29</v>
      </c>
      <c r="T85" t="str">
        <f t="shared" ref="T85:T93" si="4">"2003-02-18 13:05:26.000000"</f>
        <v>2003-02-18 13:05:26.000000</v>
      </c>
      <c r="U85" t="str">
        <f t="shared" ref="U85:U100" si="5">"006"</f>
        <v>006</v>
      </c>
    </row>
    <row r="86" spans="1:21">
      <c r="A86" t="str">
        <f>"00030962"</f>
        <v>00030962</v>
      </c>
      <c r="B86" t="s">
        <v>21</v>
      </c>
      <c r="C86" t="s">
        <v>211</v>
      </c>
      <c r="F86" t="s">
        <v>212</v>
      </c>
      <c r="G86" t="s">
        <v>213</v>
      </c>
      <c r="H86" t="s">
        <v>214</v>
      </c>
      <c r="J86" t="s">
        <v>210</v>
      </c>
      <c r="Q86" t="s">
        <v>37</v>
      </c>
      <c r="R86" t="s">
        <v>29</v>
      </c>
      <c r="T86" t="str">
        <f t="shared" si="4"/>
        <v>2003-02-18 13:05:26.000000</v>
      </c>
      <c r="U86" t="str">
        <f t="shared" si="5"/>
        <v>006</v>
      </c>
    </row>
    <row r="87" spans="1:21">
      <c r="A87" t="str">
        <f>"00031022"</f>
        <v>00031022</v>
      </c>
      <c r="B87" t="s">
        <v>21</v>
      </c>
      <c r="C87" t="s">
        <v>215</v>
      </c>
      <c r="F87" t="s">
        <v>216</v>
      </c>
      <c r="G87" t="s">
        <v>213</v>
      </c>
      <c r="H87" t="s">
        <v>214</v>
      </c>
      <c r="J87" t="s">
        <v>210</v>
      </c>
      <c r="Q87" t="s">
        <v>217</v>
      </c>
      <c r="R87" t="s">
        <v>29</v>
      </c>
      <c r="T87" t="str">
        <f t="shared" si="4"/>
        <v>2003-02-18 13:05:26.000000</v>
      </c>
      <c r="U87" t="str">
        <f t="shared" si="5"/>
        <v>006</v>
      </c>
    </row>
    <row r="88" spans="1:21">
      <c r="A88" t="str">
        <f>"00031268"</f>
        <v>00031268</v>
      </c>
      <c r="B88" t="s">
        <v>21</v>
      </c>
      <c r="C88" t="s">
        <v>218</v>
      </c>
      <c r="F88" t="s">
        <v>219</v>
      </c>
      <c r="G88" t="s">
        <v>220</v>
      </c>
      <c r="H88" t="s">
        <v>214</v>
      </c>
      <c r="J88" t="s">
        <v>210</v>
      </c>
      <c r="Q88" t="s">
        <v>28</v>
      </c>
      <c r="R88" t="s">
        <v>29</v>
      </c>
      <c r="T88" t="str">
        <f t="shared" si="4"/>
        <v>2003-02-18 13:05:26.000000</v>
      </c>
      <c r="U88" t="str">
        <f t="shared" si="5"/>
        <v>006</v>
      </c>
    </row>
    <row r="89" spans="1:21">
      <c r="A89" t="str">
        <f>"00031510"</f>
        <v>00031510</v>
      </c>
      <c r="B89" t="s">
        <v>21</v>
      </c>
      <c r="C89" t="s">
        <v>221</v>
      </c>
      <c r="F89" t="s">
        <v>222</v>
      </c>
      <c r="G89" t="s">
        <v>223</v>
      </c>
      <c r="H89" t="s">
        <v>214</v>
      </c>
      <c r="J89" t="s">
        <v>210</v>
      </c>
      <c r="Q89" t="s">
        <v>28</v>
      </c>
      <c r="R89" t="s">
        <v>29</v>
      </c>
      <c r="T89" t="str">
        <f t="shared" si="4"/>
        <v>2003-02-18 13:05:26.000000</v>
      </c>
      <c r="U89" t="str">
        <f t="shared" si="5"/>
        <v>006</v>
      </c>
    </row>
    <row r="90" spans="1:21">
      <c r="A90" t="str">
        <f>"00031539"</f>
        <v>00031539</v>
      </c>
      <c r="B90" t="s">
        <v>21</v>
      </c>
      <c r="C90" t="s">
        <v>207</v>
      </c>
      <c r="F90" t="s">
        <v>224</v>
      </c>
      <c r="G90" t="s">
        <v>225</v>
      </c>
      <c r="J90" t="s">
        <v>210</v>
      </c>
      <c r="Q90" t="s">
        <v>37</v>
      </c>
      <c r="R90" t="s">
        <v>29</v>
      </c>
      <c r="T90" t="str">
        <f t="shared" si="4"/>
        <v>2003-02-18 13:05:26.000000</v>
      </c>
      <c r="U90" t="str">
        <f t="shared" si="5"/>
        <v>006</v>
      </c>
    </row>
    <row r="91" spans="1:21">
      <c r="A91" t="str">
        <f>"00031552"</f>
        <v>00031552</v>
      </c>
      <c r="B91" t="s">
        <v>21</v>
      </c>
      <c r="C91" t="s">
        <v>226</v>
      </c>
      <c r="F91" t="s">
        <v>227</v>
      </c>
      <c r="G91" t="s">
        <v>228</v>
      </c>
      <c r="J91" t="s">
        <v>210</v>
      </c>
      <c r="Q91" t="s">
        <v>217</v>
      </c>
      <c r="R91" t="s">
        <v>29</v>
      </c>
      <c r="T91" t="str">
        <f t="shared" si="4"/>
        <v>2003-02-18 13:05:26.000000</v>
      </c>
      <c r="U91" t="str">
        <f t="shared" si="5"/>
        <v>006</v>
      </c>
    </row>
    <row r="92" spans="1:21">
      <c r="A92" t="str">
        <f>"00031710"</f>
        <v>00031710</v>
      </c>
      <c r="B92" t="s">
        <v>21</v>
      </c>
      <c r="C92" t="s">
        <v>229</v>
      </c>
      <c r="F92" t="s">
        <v>230</v>
      </c>
      <c r="G92" t="s">
        <v>228</v>
      </c>
      <c r="J92" t="s">
        <v>210</v>
      </c>
      <c r="Q92" t="s">
        <v>28</v>
      </c>
      <c r="R92" t="s">
        <v>29</v>
      </c>
      <c r="T92" t="str">
        <f t="shared" si="4"/>
        <v>2003-02-18 13:05:26.000000</v>
      </c>
      <c r="U92" t="str">
        <f t="shared" si="5"/>
        <v>006</v>
      </c>
    </row>
    <row r="93" spans="1:21">
      <c r="A93" t="str">
        <f>"00031714"</f>
        <v>00031714</v>
      </c>
      <c r="B93" t="s">
        <v>21</v>
      </c>
      <c r="C93" t="s">
        <v>231</v>
      </c>
      <c r="D93" t="s">
        <v>232</v>
      </c>
      <c r="F93" t="s">
        <v>233</v>
      </c>
      <c r="G93" t="s">
        <v>234</v>
      </c>
      <c r="H93" t="s">
        <v>228</v>
      </c>
      <c r="J93" t="s">
        <v>210</v>
      </c>
      <c r="Q93" t="s">
        <v>217</v>
      </c>
      <c r="R93" t="s">
        <v>29</v>
      </c>
      <c r="T93" t="str">
        <f t="shared" si="4"/>
        <v>2003-02-18 13:05:26.000000</v>
      </c>
      <c r="U93" t="str">
        <f t="shared" si="5"/>
        <v>006</v>
      </c>
    </row>
    <row r="94" spans="1:21">
      <c r="A94" t="str">
        <f>"00031843"</f>
        <v>00031843</v>
      </c>
      <c r="B94" t="s">
        <v>21</v>
      </c>
      <c r="C94" t="s">
        <v>211</v>
      </c>
      <c r="F94" t="s">
        <v>235</v>
      </c>
      <c r="H94" t="s">
        <v>236</v>
      </c>
      <c r="J94" t="s">
        <v>210</v>
      </c>
      <c r="Q94" t="s">
        <v>28</v>
      </c>
      <c r="R94" t="s">
        <v>29</v>
      </c>
      <c r="T94" t="str">
        <f t="shared" ref="T94:T100" si="6">"2003-02-18 21:07:13.000000"</f>
        <v>2003-02-18 21:07:13.000000</v>
      </c>
      <c r="U94" t="str">
        <f t="shared" si="5"/>
        <v>006</v>
      </c>
    </row>
    <row r="95" spans="1:21">
      <c r="A95" t="str">
        <f>"00031858"</f>
        <v>00031858</v>
      </c>
      <c r="B95" t="s">
        <v>21</v>
      </c>
      <c r="C95" t="s">
        <v>218</v>
      </c>
      <c r="F95" t="s">
        <v>237</v>
      </c>
      <c r="H95" t="s">
        <v>238</v>
      </c>
      <c r="J95" t="s">
        <v>210</v>
      </c>
      <c r="Q95" t="s">
        <v>28</v>
      </c>
      <c r="R95" t="s">
        <v>29</v>
      </c>
      <c r="T95" t="str">
        <f t="shared" si="6"/>
        <v>2003-02-18 21:07:13.000000</v>
      </c>
      <c r="U95" t="str">
        <f t="shared" si="5"/>
        <v>006</v>
      </c>
    </row>
    <row r="96" spans="1:21">
      <c r="A96" t="str">
        <f>"00031910"</f>
        <v>00031910</v>
      </c>
      <c r="B96" t="s">
        <v>21</v>
      </c>
      <c r="C96" t="s">
        <v>221</v>
      </c>
      <c r="F96" t="s">
        <v>222</v>
      </c>
      <c r="H96" t="s">
        <v>239</v>
      </c>
      <c r="J96" t="s">
        <v>210</v>
      </c>
      <c r="Q96" t="s">
        <v>28</v>
      </c>
      <c r="R96" t="s">
        <v>29</v>
      </c>
      <c r="T96" t="str">
        <f t="shared" si="6"/>
        <v>2003-02-18 21:07:13.000000</v>
      </c>
      <c r="U96" t="str">
        <f t="shared" si="5"/>
        <v>006</v>
      </c>
    </row>
    <row r="97" spans="1:21">
      <c r="A97" t="str">
        <f>"00031984"</f>
        <v>00031984</v>
      </c>
      <c r="B97" t="s">
        <v>21</v>
      </c>
      <c r="C97" t="s">
        <v>226</v>
      </c>
      <c r="F97" t="s">
        <v>240</v>
      </c>
      <c r="H97" t="s">
        <v>228</v>
      </c>
      <c r="J97" t="s">
        <v>210</v>
      </c>
      <c r="Q97" t="s">
        <v>28</v>
      </c>
      <c r="R97" t="s">
        <v>29</v>
      </c>
      <c r="T97" t="str">
        <f t="shared" si="6"/>
        <v>2003-02-18 21:07:13.000000</v>
      </c>
      <c r="U97" t="str">
        <f t="shared" si="5"/>
        <v>006</v>
      </c>
    </row>
    <row r="98" spans="1:21">
      <c r="A98" t="str">
        <f>"00032158"</f>
        <v>00032158</v>
      </c>
      <c r="B98" t="s">
        <v>21</v>
      </c>
      <c r="C98" t="s">
        <v>215</v>
      </c>
      <c r="F98" t="s">
        <v>241</v>
      </c>
      <c r="H98" t="s">
        <v>242</v>
      </c>
      <c r="J98" t="s">
        <v>210</v>
      </c>
      <c r="Q98" t="s">
        <v>28</v>
      </c>
      <c r="R98" t="s">
        <v>29</v>
      </c>
      <c r="T98" t="str">
        <f t="shared" si="6"/>
        <v>2003-02-18 21:07:13.000000</v>
      </c>
      <c r="U98" t="str">
        <f t="shared" si="5"/>
        <v>006</v>
      </c>
    </row>
    <row r="99" spans="1:21">
      <c r="A99" t="str">
        <f>"00032186"</f>
        <v>00032186</v>
      </c>
      <c r="B99" t="s">
        <v>21</v>
      </c>
      <c r="C99" t="s">
        <v>229</v>
      </c>
      <c r="F99" t="s">
        <v>243</v>
      </c>
      <c r="H99" t="s">
        <v>228</v>
      </c>
      <c r="J99" t="s">
        <v>210</v>
      </c>
      <c r="Q99" t="s">
        <v>28</v>
      </c>
      <c r="R99" t="s">
        <v>29</v>
      </c>
      <c r="T99" t="str">
        <f t="shared" si="6"/>
        <v>2003-02-18 21:07:13.000000</v>
      </c>
      <c r="U99" t="str">
        <f t="shared" si="5"/>
        <v>006</v>
      </c>
    </row>
    <row r="100" spans="1:21">
      <c r="A100" t="str">
        <f>"00032197"</f>
        <v>00032197</v>
      </c>
      <c r="B100" t="s">
        <v>21</v>
      </c>
      <c r="C100" t="s">
        <v>231</v>
      </c>
      <c r="D100" t="s">
        <v>232</v>
      </c>
      <c r="F100" t="s">
        <v>244</v>
      </c>
      <c r="G100" t="s">
        <v>245</v>
      </c>
      <c r="H100" t="s">
        <v>228</v>
      </c>
      <c r="J100" t="s">
        <v>210</v>
      </c>
      <c r="Q100" t="s">
        <v>28</v>
      </c>
      <c r="R100" t="s">
        <v>29</v>
      </c>
      <c r="T100" t="str">
        <f t="shared" si="6"/>
        <v>2003-02-18 21:07:13.000000</v>
      </c>
      <c r="U100" t="str">
        <f t="shared" si="5"/>
        <v>006</v>
      </c>
    </row>
    <row r="101" spans="1:21">
      <c r="A101" t="str">
        <f>"00032317"</f>
        <v>00032317</v>
      </c>
      <c r="B101" t="s">
        <v>21</v>
      </c>
      <c r="C101" t="s">
        <v>246</v>
      </c>
      <c r="D101" t="s">
        <v>247</v>
      </c>
      <c r="E101" t="str">
        <f>"1959-02-25"</f>
        <v>1959-02-25</v>
      </c>
      <c r="F101" t="s">
        <v>248</v>
      </c>
      <c r="G101" t="s">
        <v>249</v>
      </c>
      <c r="J101" t="s">
        <v>250</v>
      </c>
      <c r="K101" t="str">
        <f>"9887359"</f>
        <v>9887359</v>
      </c>
      <c r="N101">
        <v>9862583</v>
      </c>
      <c r="O101" t="s">
        <v>251</v>
      </c>
      <c r="Q101" t="s">
        <v>37</v>
      </c>
      <c r="R101" t="s">
        <v>29</v>
      </c>
      <c r="T101" t="str">
        <f>"2003-02-25 14:48:42.000000"</f>
        <v>2003-02-25 14:48:42.000000</v>
      </c>
    </row>
    <row r="102" spans="1:21">
      <c r="A102" t="str">
        <f>"00032319"</f>
        <v>00032319</v>
      </c>
      <c r="B102" t="s">
        <v>21</v>
      </c>
      <c r="C102" t="s">
        <v>252</v>
      </c>
      <c r="D102" t="s">
        <v>253</v>
      </c>
      <c r="E102" t="str">
        <f>"1960-02-25"</f>
        <v>1960-02-25</v>
      </c>
      <c r="F102" t="s">
        <v>248</v>
      </c>
      <c r="G102" t="s">
        <v>254</v>
      </c>
      <c r="J102" t="s">
        <v>250</v>
      </c>
      <c r="K102" t="str">
        <f>"9887359"</f>
        <v>9887359</v>
      </c>
      <c r="N102">
        <v>9862583</v>
      </c>
      <c r="O102" t="s">
        <v>251</v>
      </c>
      <c r="Q102" t="s">
        <v>37</v>
      </c>
      <c r="R102" t="s">
        <v>29</v>
      </c>
      <c r="T102" t="str">
        <f>"2003-02-25 14:52:03.000000"</f>
        <v>2003-02-25 14:52:03.000000</v>
      </c>
    </row>
    <row r="103" spans="1:21">
      <c r="A103" t="str">
        <f>"00033163"</f>
        <v>00033163</v>
      </c>
      <c r="B103" t="s">
        <v>21</v>
      </c>
      <c r="C103" t="s">
        <v>170</v>
      </c>
      <c r="D103" t="s">
        <v>92</v>
      </c>
      <c r="F103" t="s">
        <v>171</v>
      </c>
      <c r="G103" t="s">
        <v>255</v>
      </c>
      <c r="H103" t="s">
        <v>26</v>
      </c>
      <c r="J103" t="s">
        <v>26</v>
      </c>
      <c r="Q103" t="s">
        <v>28</v>
      </c>
      <c r="R103" t="s">
        <v>29</v>
      </c>
      <c r="T103" t="str">
        <f>"2003-04-02 10:43:00.000000"</f>
        <v>2003-04-02 10:43:00.000000</v>
      </c>
      <c r="U103" t="str">
        <f t="shared" ref="U103:U118" si="7">"007"</f>
        <v>007</v>
      </c>
    </row>
    <row r="104" spans="1:21">
      <c r="A104" t="str">
        <f>"00033838"</f>
        <v>00033838</v>
      </c>
      <c r="B104" t="s">
        <v>21</v>
      </c>
      <c r="C104" t="s">
        <v>256</v>
      </c>
      <c r="D104" t="s">
        <v>257</v>
      </c>
      <c r="F104" t="s">
        <v>258</v>
      </c>
      <c r="G104" t="s">
        <v>259</v>
      </c>
      <c r="H104" t="s">
        <v>260</v>
      </c>
      <c r="I104" t="s">
        <v>261</v>
      </c>
      <c r="O104" t="s">
        <v>262</v>
      </c>
      <c r="Q104" t="s">
        <v>28</v>
      </c>
      <c r="R104" t="s">
        <v>29</v>
      </c>
      <c r="T104" t="str">
        <f>"2015-08-02 18:47:22.000000"</f>
        <v>2015-08-02 18:47:22.000000</v>
      </c>
      <c r="U104" t="str">
        <f t="shared" si="7"/>
        <v>007</v>
      </c>
    </row>
    <row r="105" spans="1:21">
      <c r="A105" t="str">
        <f>"00033966"</f>
        <v>00033966</v>
      </c>
      <c r="B105" t="s">
        <v>21</v>
      </c>
      <c r="C105" t="s">
        <v>263</v>
      </c>
      <c r="F105" t="s">
        <v>264</v>
      </c>
      <c r="G105" t="s">
        <v>265</v>
      </c>
      <c r="H105" t="s">
        <v>266</v>
      </c>
      <c r="J105" t="s">
        <v>26</v>
      </c>
      <c r="O105" t="s">
        <v>262</v>
      </c>
      <c r="Q105" t="s">
        <v>28</v>
      </c>
      <c r="R105" t="s">
        <v>29</v>
      </c>
      <c r="T105" t="str">
        <f>"2015-02-16 10:46:44.000000"</f>
        <v>2015-02-16 10:46:44.000000</v>
      </c>
      <c r="U105" t="str">
        <f t="shared" si="7"/>
        <v>007</v>
      </c>
    </row>
    <row r="106" spans="1:21">
      <c r="A106" t="str">
        <f>"00034112"</f>
        <v>00034112</v>
      </c>
      <c r="B106" t="s">
        <v>21</v>
      </c>
      <c r="C106" t="s">
        <v>267</v>
      </c>
      <c r="D106" t="s">
        <v>268</v>
      </c>
      <c r="F106" t="s">
        <v>49</v>
      </c>
      <c r="G106" t="s">
        <v>269</v>
      </c>
      <c r="K106" t="str">
        <f>"9134202"</f>
        <v>9134202</v>
      </c>
      <c r="L106" t="str">
        <f>"04470006030"</f>
        <v>04470006030</v>
      </c>
      <c r="N106" t="s">
        <v>270</v>
      </c>
      <c r="O106" t="s">
        <v>271</v>
      </c>
      <c r="Q106" t="s">
        <v>28</v>
      </c>
      <c r="R106" t="s">
        <v>29</v>
      </c>
      <c r="T106" t="str">
        <f>"2019-01-24 18:33:04.000000"</f>
        <v>2019-01-24 18:33:04.000000</v>
      </c>
      <c r="U106" t="str">
        <f t="shared" si="7"/>
        <v>007</v>
      </c>
    </row>
    <row r="107" spans="1:21">
      <c r="A107" t="str">
        <f>"00034115"</f>
        <v>00034115</v>
      </c>
      <c r="B107" t="s">
        <v>21</v>
      </c>
      <c r="C107" t="s">
        <v>272</v>
      </c>
      <c r="D107" t="s">
        <v>273</v>
      </c>
      <c r="F107" t="s">
        <v>274</v>
      </c>
      <c r="G107" t="s">
        <v>275</v>
      </c>
      <c r="K107" t="str">
        <f>"9134202"</f>
        <v>9134202</v>
      </c>
      <c r="L107" t="str">
        <f>"04470006030"</f>
        <v>04470006030</v>
      </c>
      <c r="N107" t="s">
        <v>270</v>
      </c>
      <c r="O107" t="s">
        <v>271</v>
      </c>
      <c r="Q107" t="s">
        <v>28</v>
      </c>
      <c r="R107" t="s">
        <v>29</v>
      </c>
      <c r="T107" t="str">
        <f>"2019-01-24 18:33:04.000000"</f>
        <v>2019-01-24 18:33:04.000000</v>
      </c>
      <c r="U107" t="str">
        <f t="shared" si="7"/>
        <v>007</v>
      </c>
    </row>
    <row r="108" spans="1:21">
      <c r="A108" t="str">
        <f>"00034281"</f>
        <v>00034281</v>
      </c>
      <c r="B108" t="s">
        <v>21</v>
      </c>
      <c r="C108" t="s">
        <v>22</v>
      </c>
      <c r="F108" t="s">
        <v>276</v>
      </c>
      <c r="G108" t="s">
        <v>277</v>
      </c>
      <c r="H108" t="s">
        <v>278</v>
      </c>
      <c r="J108" t="s">
        <v>26</v>
      </c>
      <c r="K108" t="str">
        <f>"8828860-3,"</f>
        <v>8828860-3,</v>
      </c>
      <c r="N108">
        <v>8828856</v>
      </c>
      <c r="Q108" t="s">
        <v>28</v>
      </c>
      <c r="R108" t="s">
        <v>29</v>
      </c>
      <c r="T108" t="str">
        <f t="shared" ref="T108:T118" si="8">"2003-04-02 15:15:36.000000"</f>
        <v>2003-04-02 15:15:36.000000</v>
      </c>
      <c r="U108" t="str">
        <f t="shared" si="7"/>
        <v>007</v>
      </c>
    </row>
    <row r="109" spans="1:21">
      <c r="A109" t="str">
        <f>"00034298"</f>
        <v>00034298</v>
      </c>
      <c r="B109" t="s">
        <v>21</v>
      </c>
      <c r="C109" t="s">
        <v>279</v>
      </c>
      <c r="D109" t="s">
        <v>280</v>
      </c>
      <c r="F109" t="s">
        <v>281</v>
      </c>
      <c r="G109" t="s">
        <v>26</v>
      </c>
      <c r="J109" t="s">
        <v>26</v>
      </c>
      <c r="Q109" t="s">
        <v>28</v>
      </c>
      <c r="R109" t="s">
        <v>29</v>
      </c>
      <c r="T109" t="str">
        <f t="shared" si="8"/>
        <v>2003-04-02 15:15:36.000000</v>
      </c>
      <c r="U109" t="str">
        <f t="shared" si="7"/>
        <v>007</v>
      </c>
    </row>
    <row r="110" spans="1:21">
      <c r="A110" t="str">
        <f>"00034349"</f>
        <v>00034349</v>
      </c>
      <c r="B110" t="s">
        <v>21</v>
      </c>
      <c r="C110" t="s">
        <v>279</v>
      </c>
      <c r="D110" t="s">
        <v>280</v>
      </c>
      <c r="F110" t="s">
        <v>282</v>
      </c>
      <c r="G110" t="s">
        <v>278</v>
      </c>
      <c r="J110" t="s">
        <v>26</v>
      </c>
      <c r="Q110" t="s">
        <v>28</v>
      </c>
      <c r="R110" t="s">
        <v>29</v>
      </c>
      <c r="T110" t="str">
        <f t="shared" si="8"/>
        <v>2003-04-02 15:15:36.000000</v>
      </c>
      <c r="U110" t="str">
        <f t="shared" si="7"/>
        <v>007</v>
      </c>
    </row>
    <row r="111" spans="1:21">
      <c r="A111" t="str">
        <f>"00034352"</f>
        <v>00034352</v>
      </c>
      <c r="B111" t="s">
        <v>21</v>
      </c>
      <c r="C111" t="s">
        <v>22</v>
      </c>
      <c r="F111" t="s">
        <v>283</v>
      </c>
      <c r="G111" t="s">
        <v>284</v>
      </c>
      <c r="H111" t="s">
        <v>26</v>
      </c>
      <c r="J111" t="s">
        <v>26</v>
      </c>
      <c r="K111" t="str">
        <f>"8828860-3,"</f>
        <v>8828860-3,</v>
      </c>
      <c r="N111" t="s">
        <v>285</v>
      </c>
      <c r="Q111" t="s">
        <v>28</v>
      </c>
      <c r="R111" t="s">
        <v>29</v>
      </c>
      <c r="T111" t="str">
        <f t="shared" si="8"/>
        <v>2003-04-02 15:15:36.000000</v>
      </c>
      <c r="U111" t="str">
        <f t="shared" si="7"/>
        <v>007</v>
      </c>
    </row>
    <row r="112" spans="1:21">
      <c r="A112" t="str">
        <f>"00034363"</f>
        <v>00034363</v>
      </c>
      <c r="B112" t="s">
        <v>21</v>
      </c>
      <c r="C112" t="s">
        <v>286</v>
      </c>
      <c r="F112" t="s">
        <v>287</v>
      </c>
      <c r="G112" t="s">
        <v>278</v>
      </c>
      <c r="J112" t="s">
        <v>26</v>
      </c>
      <c r="Q112" t="s">
        <v>28</v>
      </c>
      <c r="R112" t="s">
        <v>29</v>
      </c>
      <c r="T112" t="str">
        <f t="shared" si="8"/>
        <v>2003-04-02 15:15:36.000000</v>
      </c>
      <c r="U112" t="str">
        <f t="shared" si="7"/>
        <v>007</v>
      </c>
    </row>
    <row r="113" spans="1:21">
      <c r="A113" t="str">
        <f>"00034365"</f>
        <v>00034365</v>
      </c>
      <c r="B113" t="s">
        <v>21</v>
      </c>
      <c r="C113" t="s">
        <v>286</v>
      </c>
      <c r="F113" t="s">
        <v>288</v>
      </c>
      <c r="G113" t="s">
        <v>26</v>
      </c>
      <c r="J113" t="s">
        <v>26</v>
      </c>
      <c r="Q113" t="s">
        <v>28</v>
      </c>
      <c r="R113" t="s">
        <v>29</v>
      </c>
      <c r="T113" t="str">
        <f t="shared" si="8"/>
        <v>2003-04-02 15:15:36.000000</v>
      </c>
      <c r="U113" t="str">
        <f t="shared" si="7"/>
        <v>007</v>
      </c>
    </row>
    <row r="114" spans="1:21">
      <c r="A114" t="str">
        <f>"00034366"</f>
        <v>00034366</v>
      </c>
      <c r="B114" t="s">
        <v>21</v>
      </c>
      <c r="C114" t="s">
        <v>286</v>
      </c>
      <c r="F114" t="s">
        <v>289</v>
      </c>
      <c r="G114" t="s">
        <v>26</v>
      </c>
      <c r="J114" t="s">
        <v>26</v>
      </c>
      <c r="Q114" t="s">
        <v>28</v>
      </c>
      <c r="R114" t="s">
        <v>29</v>
      </c>
      <c r="T114" t="str">
        <f t="shared" si="8"/>
        <v>2003-04-02 15:15:36.000000</v>
      </c>
      <c r="U114" t="str">
        <f t="shared" si="7"/>
        <v>007</v>
      </c>
    </row>
    <row r="115" spans="1:21">
      <c r="A115" t="str">
        <f>"00034374"</f>
        <v>00034374</v>
      </c>
      <c r="B115" t="s">
        <v>21</v>
      </c>
      <c r="C115" t="s">
        <v>290</v>
      </c>
      <c r="F115" t="s">
        <v>291</v>
      </c>
      <c r="G115" t="s">
        <v>292</v>
      </c>
      <c r="H115" t="s">
        <v>293</v>
      </c>
      <c r="J115" t="s">
        <v>26</v>
      </c>
      <c r="Q115" t="s">
        <v>28</v>
      </c>
      <c r="R115" t="s">
        <v>29</v>
      </c>
      <c r="T115" t="str">
        <f t="shared" si="8"/>
        <v>2003-04-02 15:15:36.000000</v>
      </c>
      <c r="U115" t="str">
        <f t="shared" si="7"/>
        <v>007</v>
      </c>
    </row>
    <row r="116" spans="1:21">
      <c r="A116" t="str">
        <f>"00034376"</f>
        <v>00034376</v>
      </c>
      <c r="B116" t="s">
        <v>21</v>
      </c>
      <c r="C116" t="s">
        <v>290</v>
      </c>
      <c r="F116" t="s">
        <v>291</v>
      </c>
      <c r="G116" t="s">
        <v>294</v>
      </c>
      <c r="H116" t="s">
        <v>295</v>
      </c>
      <c r="J116" t="s">
        <v>26</v>
      </c>
      <c r="Q116" t="s">
        <v>28</v>
      </c>
      <c r="R116" t="s">
        <v>29</v>
      </c>
      <c r="T116" t="str">
        <f t="shared" si="8"/>
        <v>2003-04-02 15:15:36.000000</v>
      </c>
      <c r="U116" t="str">
        <f t="shared" si="7"/>
        <v>007</v>
      </c>
    </row>
    <row r="117" spans="1:21">
      <c r="A117" t="str">
        <f>"00034400"</f>
        <v>00034400</v>
      </c>
      <c r="B117" t="s">
        <v>21</v>
      </c>
      <c r="C117" t="s">
        <v>279</v>
      </c>
      <c r="D117" t="s">
        <v>280</v>
      </c>
      <c r="F117" t="s">
        <v>282</v>
      </c>
      <c r="G117" t="s">
        <v>26</v>
      </c>
      <c r="J117" t="s">
        <v>26</v>
      </c>
      <c r="Q117" t="s">
        <v>28</v>
      </c>
      <c r="R117" t="s">
        <v>29</v>
      </c>
      <c r="T117" t="str">
        <f t="shared" si="8"/>
        <v>2003-04-02 15:15:36.000000</v>
      </c>
      <c r="U117" t="str">
        <f t="shared" si="7"/>
        <v>007</v>
      </c>
    </row>
    <row r="118" spans="1:21">
      <c r="A118" t="str">
        <f>"00034441"</f>
        <v>00034441</v>
      </c>
      <c r="B118" t="s">
        <v>21</v>
      </c>
      <c r="C118" t="s">
        <v>279</v>
      </c>
      <c r="D118" t="s">
        <v>280</v>
      </c>
      <c r="F118" t="s">
        <v>282</v>
      </c>
      <c r="G118" t="s">
        <v>26</v>
      </c>
      <c r="J118" t="s">
        <v>26</v>
      </c>
      <c r="Q118" t="s">
        <v>28</v>
      </c>
      <c r="R118" t="s">
        <v>29</v>
      </c>
      <c r="T118" t="str">
        <f t="shared" si="8"/>
        <v>2003-04-02 15:15:36.000000</v>
      </c>
      <c r="U118" t="str">
        <f t="shared" si="7"/>
        <v>007</v>
      </c>
    </row>
    <row r="119" spans="1:21">
      <c r="A119" t="str">
        <f>"00034535"</f>
        <v>00034535</v>
      </c>
      <c r="B119" t="s">
        <v>21</v>
      </c>
      <c r="C119" t="s">
        <v>179</v>
      </c>
      <c r="D119" t="s">
        <v>180</v>
      </c>
      <c r="F119" t="s">
        <v>296</v>
      </c>
      <c r="J119" t="s">
        <v>26</v>
      </c>
      <c r="K119" t="str">
        <f>"9552244,"</f>
        <v>9552244,</v>
      </c>
      <c r="Q119" t="s">
        <v>28</v>
      </c>
      <c r="R119" t="s">
        <v>29</v>
      </c>
      <c r="T119" t="str">
        <f t="shared" ref="T119:T135" si="9">"2003-04-02 16:08:25.000000"</f>
        <v>2003-04-02 16:08:25.000000</v>
      </c>
      <c r="U119" t="str">
        <f t="shared" ref="U119:U140" si="10">"008"</f>
        <v>008</v>
      </c>
    </row>
    <row r="120" spans="1:21">
      <c r="A120" t="str">
        <f>"00034862"</f>
        <v>00034862</v>
      </c>
      <c r="B120" t="s">
        <v>21</v>
      </c>
      <c r="C120" t="s">
        <v>297</v>
      </c>
      <c r="F120" t="s">
        <v>298</v>
      </c>
      <c r="G120" t="s">
        <v>26</v>
      </c>
      <c r="J120" t="s">
        <v>26</v>
      </c>
      <c r="K120" t="str">
        <f>"9559260,"</f>
        <v>9559260,</v>
      </c>
      <c r="Q120" t="s">
        <v>28</v>
      </c>
      <c r="R120" t="s">
        <v>29</v>
      </c>
      <c r="T120" t="str">
        <f t="shared" si="9"/>
        <v>2003-04-02 16:08:25.000000</v>
      </c>
      <c r="U120" t="str">
        <f t="shared" si="10"/>
        <v>008</v>
      </c>
    </row>
    <row r="121" spans="1:21">
      <c r="A121" t="str">
        <f>"00035007"</f>
        <v>00035007</v>
      </c>
      <c r="B121" t="s">
        <v>21</v>
      </c>
      <c r="C121" t="s">
        <v>299</v>
      </c>
      <c r="F121" t="s">
        <v>300</v>
      </c>
      <c r="G121" t="s">
        <v>278</v>
      </c>
      <c r="J121" t="s">
        <v>26</v>
      </c>
      <c r="K121" t="str">
        <f>"9335222,017584281"</f>
        <v>9335222,017584281</v>
      </c>
      <c r="L121" t="str">
        <f>"017584281"</f>
        <v>017584281</v>
      </c>
      <c r="Q121" t="s">
        <v>28</v>
      </c>
      <c r="R121" t="s">
        <v>29</v>
      </c>
      <c r="T121" t="str">
        <f t="shared" si="9"/>
        <v>2003-04-02 16:08:25.000000</v>
      </c>
      <c r="U121" t="str">
        <f t="shared" si="10"/>
        <v>008</v>
      </c>
    </row>
    <row r="122" spans="1:21">
      <c r="A122" t="str">
        <f>"00035157"</f>
        <v>00035157</v>
      </c>
      <c r="B122" t="s">
        <v>21</v>
      </c>
      <c r="C122" t="s">
        <v>301</v>
      </c>
      <c r="F122" t="s">
        <v>302</v>
      </c>
      <c r="G122" t="s">
        <v>26</v>
      </c>
      <c r="J122" t="s">
        <v>26</v>
      </c>
      <c r="Q122" t="s">
        <v>28</v>
      </c>
      <c r="R122" t="s">
        <v>29</v>
      </c>
      <c r="T122" t="str">
        <f t="shared" si="9"/>
        <v>2003-04-02 16:08:25.000000</v>
      </c>
      <c r="U122" t="str">
        <f t="shared" si="10"/>
        <v>008</v>
      </c>
    </row>
    <row r="123" spans="1:21">
      <c r="A123" t="str">
        <f>"00035158"</f>
        <v>00035158</v>
      </c>
      <c r="B123" t="s">
        <v>21</v>
      </c>
      <c r="C123" t="s">
        <v>301</v>
      </c>
      <c r="F123" t="s">
        <v>303</v>
      </c>
      <c r="G123" t="s">
        <v>26</v>
      </c>
      <c r="J123" t="s">
        <v>26</v>
      </c>
      <c r="Q123" t="s">
        <v>28</v>
      </c>
      <c r="R123" t="s">
        <v>29</v>
      </c>
      <c r="T123" t="str">
        <f t="shared" si="9"/>
        <v>2003-04-02 16:08:25.000000</v>
      </c>
      <c r="U123" t="str">
        <f t="shared" si="10"/>
        <v>008</v>
      </c>
    </row>
    <row r="124" spans="1:21">
      <c r="A124" t="str">
        <f>"00035181"</f>
        <v>00035181</v>
      </c>
      <c r="B124" t="s">
        <v>21</v>
      </c>
      <c r="C124" t="s">
        <v>304</v>
      </c>
      <c r="D124" t="s">
        <v>305</v>
      </c>
      <c r="F124" t="s">
        <v>306</v>
      </c>
      <c r="G124" t="s">
        <v>26</v>
      </c>
      <c r="J124" t="s">
        <v>26</v>
      </c>
      <c r="Q124" t="s">
        <v>28</v>
      </c>
      <c r="R124" t="s">
        <v>29</v>
      </c>
      <c r="T124" t="str">
        <f t="shared" si="9"/>
        <v>2003-04-02 16:08:25.000000</v>
      </c>
      <c r="U124" t="str">
        <f t="shared" si="10"/>
        <v>008</v>
      </c>
    </row>
    <row r="125" spans="1:21">
      <c r="A125" t="str">
        <f>"00035182"</f>
        <v>00035182</v>
      </c>
      <c r="B125" t="s">
        <v>21</v>
      </c>
      <c r="C125" t="s">
        <v>304</v>
      </c>
      <c r="D125" t="s">
        <v>305</v>
      </c>
      <c r="F125" t="s">
        <v>307</v>
      </c>
      <c r="G125" t="s">
        <v>26</v>
      </c>
      <c r="J125" t="s">
        <v>26</v>
      </c>
      <c r="Q125" t="s">
        <v>28</v>
      </c>
      <c r="R125" t="s">
        <v>29</v>
      </c>
      <c r="T125" t="str">
        <f t="shared" si="9"/>
        <v>2003-04-02 16:08:25.000000</v>
      </c>
      <c r="U125" t="str">
        <f t="shared" si="10"/>
        <v>008</v>
      </c>
    </row>
    <row r="126" spans="1:21">
      <c r="A126" t="str">
        <f>"00035183"</f>
        <v>00035183</v>
      </c>
      <c r="B126" t="s">
        <v>21</v>
      </c>
      <c r="C126" t="s">
        <v>304</v>
      </c>
      <c r="D126" t="s">
        <v>305</v>
      </c>
      <c r="F126" t="s">
        <v>308</v>
      </c>
      <c r="G126" t="s">
        <v>26</v>
      </c>
      <c r="J126" t="s">
        <v>26</v>
      </c>
      <c r="Q126" t="s">
        <v>28</v>
      </c>
      <c r="R126" t="s">
        <v>29</v>
      </c>
      <c r="T126" t="str">
        <f t="shared" si="9"/>
        <v>2003-04-02 16:08:25.000000</v>
      </c>
      <c r="U126" t="str">
        <f t="shared" si="10"/>
        <v>008</v>
      </c>
    </row>
    <row r="127" spans="1:21">
      <c r="A127" t="str">
        <f>"00035198"</f>
        <v>00035198</v>
      </c>
      <c r="B127" t="s">
        <v>21</v>
      </c>
      <c r="C127" t="s">
        <v>309</v>
      </c>
      <c r="F127" t="s">
        <v>310</v>
      </c>
      <c r="G127" t="s">
        <v>311</v>
      </c>
      <c r="H127" t="s">
        <v>26</v>
      </c>
      <c r="J127" t="s">
        <v>26</v>
      </c>
      <c r="Q127" t="s">
        <v>28</v>
      </c>
      <c r="R127" t="s">
        <v>29</v>
      </c>
      <c r="T127" t="str">
        <f t="shared" si="9"/>
        <v>2003-04-02 16:08:25.000000</v>
      </c>
      <c r="U127" t="str">
        <f t="shared" si="10"/>
        <v>008</v>
      </c>
    </row>
    <row r="128" spans="1:21">
      <c r="A128" t="str">
        <f>"00035200"</f>
        <v>00035200</v>
      </c>
      <c r="B128" t="s">
        <v>21</v>
      </c>
      <c r="C128" t="s">
        <v>309</v>
      </c>
      <c r="F128" t="s">
        <v>310</v>
      </c>
      <c r="G128" t="s">
        <v>311</v>
      </c>
      <c r="H128" t="s">
        <v>312</v>
      </c>
      <c r="J128" t="s">
        <v>26</v>
      </c>
      <c r="Q128" t="s">
        <v>28</v>
      </c>
      <c r="R128" t="s">
        <v>29</v>
      </c>
      <c r="T128" t="str">
        <f t="shared" si="9"/>
        <v>2003-04-02 16:08:25.000000</v>
      </c>
      <c r="U128" t="str">
        <f t="shared" si="10"/>
        <v>008</v>
      </c>
    </row>
    <row r="129" spans="1:21">
      <c r="A129" t="str">
        <f>"00035222"</f>
        <v>00035222</v>
      </c>
      <c r="B129" t="s">
        <v>21</v>
      </c>
      <c r="C129" t="s">
        <v>313</v>
      </c>
      <c r="F129" t="s">
        <v>314</v>
      </c>
      <c r="G129" t="s">
        <v>315</v>
      </c>
      <c r="J129" t="s">
        <v>26</v>
      </c>
      <c r="Q129" t="s">
        <v>28</v>
      </c>
      <c r="R129" t="s">
        <v>29</v>
      </c>
      <c r="T129" t="str">
        <f t="shared" si="9"/>
        <v>2003-04-02 16:08:25.000000</v>
      </c>
      <c r="U129" t="str">
        <f t="shared" si="10"/>
        <v>008</v>
      </c>
    </row>
    <row r="130" spans="1:21">
      <c r="A130" t="str">
        <f>"00035223"</f>
        <v>00035223</v>
      </c>
      <c r="B130" t="s">
        <v>21</v>
      </c>
      <c r="C130" t="s">
        <v>313</v>
      </c>
      <c r="F130" t="s">
        <v>316</v>
      </c>
      <c r="G130" t="s">
        <v>315</v>
      </c>
      <c r="J130" t="s">
        <v>26</v>
      </c>
      <c r="Q130" t="s">
        <v>28</v>
      </c>
      <c r="R130" t="s">
        <v>29</v>
      </c>
      <c r="T130" t="str">
        <f t="shared" si="9"/>
        <v>2003-04-02 16:08:25.000000</v>
      </c>
      <c r="U130" t="str">
        <f t="shared" si="10"/>
        <v>008</v>
      </c>
    </row>
    <row r="131" spans="1:21">
      <c r="A131" t="str">
        <f>"00035239"</f>
        <v>00035239</v>
      </c>
      <c r="B131" t="s">
        <v>21</v>
      </c>
      <c r="C131" t="s">
        <v>317</v>
      </c>
      <c r="F131" t="s">
        <v>318</v>
      </c>
      <c r="G131" t="s">
        <v>26</v>
      </c>
      <c r="J131" t="s">
        <v>26</v>
      </c>
      <c r="Q131" t="s">
        <v>28</v>
      </c>
      <c r="R131" t="s">
        <v>29</v>
      </c>
      <c r="T131" t="str">
        <f t="shared" si="9"/>
        <v>2003-04-02 16:08:25.000000</v>
      </c>
      <c r="U131" t="str">
        <f t="shared" si="10"/>
        <v>008</v>
      </c>
    </row>
    <row r="132" spans="1:21">
      <c r="A132" t="str">
        <f>"00035240"</f>
        <v>00035240</v>
      </c>
      <c r="B132" t="s">
        <v>21</v>
      </c>
      <c r="C132" t="s">
        <v>317</v>
      </c>
      <c r="F132" t="s">
        <v>181</v>
      </c>
      <c r="G132" t="s">
        <v>26</v>
      </c>
      <c r="J132" t="s">
        <v>26</v>
      </c>
      <c r="Q132" t="s">
        <v>28</v>
      </c>
      <c r="R132" t="s">
        <v>29</v>
      </c>
      <c r="T132" t="str">
        <f t="shared" si="9"/>
        <v>2003-04-02 16:08:25.000000</v>
      </c>
      <c r="U132" t="str">
        <f t="shared" si="10"/>
        <v>008</v>
      </c>
    </row>
    <row r="133" spans="1:21">
      <c r="A133" t="str">
        <f>"00035241"</f>
        <v>00035241</v>
      </c>
      <c r="B133" t="s">
        <v>21</v>
      </c>
      <c r="C133" t="s">
        <v>317</v>
      </c>
      <c r="F133" t="s">
        <v>318</v>
      </c>
      <c r="G133" t="s">
        <v>26</v>
      </c>
      <c r="J133" t="s">
        <v>26</v>
      </c>
      <c r="Q133" t="s">
        <v>28</v>
      </c>
      <c r="R133" t="s">
        <v>29</v>
      </c>
      <c r="T133" t="str">
        <f t="shared" si="9"/>
        <v>2003-04-02 16:08:25.000000</v>
      </c>
      <c r="U133" t="str">
        <f t="shared" si="10"/>
        <v>008</v>
      </c>
    </row>
    <row r="134" spans="1:21">
      <c r="A134" t="str">
        <f>"00035248"</f>
        <v>00035248</v>
      </c>
      <c r="B134" t="s">
        <v>21</v>
      </c>
      <c r="C134" t="s">
        <v>319</v>
      </c>
      <c r="F134" t="s">
        <v>320</v>
      </c>
      <c r="G134" t="s">
        <v>321</v>
      </c>
      <c r="H134" t="s">
        <v>26</v>
      </c>
      <c r="J134" t="s">
        <v>26</v>
      </c>
      <c r="Q134" t="s">
        <v>28</v>
      </c>
      <c r="R134" t="s">
        <v>29</v>
      </c>
      <c r="T134" t="str">
        <f t="shared" si="9"/>
        <v>2003-04-02 16:08:25.000000</v>
      </c>
      <c r="U134" t="str">
        <f t="shared" si="10"/>
        <v>008</v>
      </c>
    </row>
    <row r="135" spans="1:21">
      <c r="A135" t="str">
        <f>"00035249"</f>
        <v>00035249</v>
      </c>
      <c r="B135" t="s">
        <v>21</v>
      </c>
      <c r="C135" t="s">
        <v>319</v>
      </c>
      <c r="F135" t="s">
        <v>320</v>
      </c>
      <c r="G135" t="s">
        <v>322</v>
      </c>
      <c r="H135" t="s">
        <v>26</v>
      </c>
      <c r="J135" t="s">
        <v>26</v>
      </c>
      <c r="Q135" t="s">
        <v>28</v>
      </c>
      <c r="R135" t="s">
        <v>29</v>
      </c>
      <c r="T135" t="str">
        <f t="shared" si="9"/>
        <v>2003-04-02 16:08:25.000000</v>
      </c>
      <c r="U135" t="str">
        <f t="shared" si="10"/>
        <v>008</v>
      </c>
    </row>
    <row r="136" spans="1:21">
      <c r="A136" t="str">
        <f>"00035745"</f>
        <v>00035745</v>
      </c>
      <c r="B136" t="s">
        <v>21</v>
      </c>
      <c r="C136" t="s">
        <v>190</v>
      </c>
      <c r="F136" t="s">
        <v>323</v>
      </c>
      <c r="G136" t="s">
        <v>26</v>
      </c>
      <c r="J136" t="s">
        <v>26</v>
      </c>
      <c r="K136" t="str">
        <f>"8117578"</f>
        <v>8117578</v>
      </c>
      <c r="Q136" t="s">
        <v>28</v>
      </c>
      <c r="R136" t="s">
        <v>29</v>
      </c>
      <c r="T136" t="str">
        <f>"2003-04-02 16:08:26.000000"</f>
        <v>2003-04-02 16:08:26.000000</v>
      </c>
      <c r="U136" t="str">
        <f t="shared" si="10"/>
        <v>008</v>
      </c>
    </row>
    <row r="137" spans="1:21">
      <c r="A137" t="str">
        <f>"00035815"</f>
        <v>00035815</v>
      </c>
      <c r="B137" t="s">
        <v>21</v>
      </c>
      <c r="C137" t="s">
        <v>195</v>
      </c>
      <c r="F137" t="s">
        <v>324</v>
      </c>
      <c r="G137" t="s">
        <v>325</v>
      </c>
      <c r="J137" t="s">
        <v>26</v>
      </c>
      <c r="Q137" t="s">
        <v>28</v>
      </c>
      <c r="R137" t="s">
        <v>29</v>
      </c>
      <c r="T137" t="str">
        <f>"2003-04-02 16:08:26.000000"</f>
        <v>2003-04-02 16:08:26.000000</v>
      </c>
      <c r="U137" t="str">
        <f t="shared" si="10"/>
        <v>008</v>
      </c>
    </row>
    <row r="138" spans="1:21">
      <c r="A138" t="str">
        <f>"00035821"</f>
        <v>00035821</v>
      </c>
      <c r="B138" t="s">
        <v>21</v>
      </c>
      <c r="C138" t="s">
        <v>193</v>
      </c>
      <c r="F138" t="s">
        <v>326</v>
      </c>
      <c r="G138" t="s">
        <v>327</v>
      </c>
      <c r="J138" t="s">
        <v>26</v>
      </c>
      <c r="Q138" t="s">
        <v>28</v>
      </c>
      <c r="R138" t="s">
        <v>29</v>
      </c>
      <c r="T138" t="str">
        <f>"2003-04-02 16:08:26.000000"</f>
        <v>2003-04-02 16:08:26.000000</v>
      </c>
      <c r="U138" t="str">
        <f t="shared" si="10"/>
        <v>008</v>
      </c>
    </row>
    <row r="139" spans="1:21">
      <c r="A139" t="str">
        <f>"00035839"</f>
        <v>00035839</v>
      </c>
      <c r="B139" t="s">
        <v>21</v>
      </c>
      <c r="C139" t="s">
        <v>299</v>
      </c>
      <c r="F139" t="s">
        <v>328</v>
      </c>
      <c r="G139" t="s">
        <v>26</v>
      </c>
      <c r="J139" t="s">
        <v>26</v>
      </c>
      <c r="K139" t="str">
        <f>"9335222,017524271"</f>
        <v>9335222,017524271</v>
      </c>
      <c r="L139" t="str">
        <f>"017524271"</f>
        <v>017524271</v>
      </c>
      <c r="Q139" t="s">
        <v>28</v>
      </c>
      <c r="R139" t="s">
        <v>29</v>
      </c>
      <c r="T139" t="str">
        <f>"2003-04-02 16:08:26.000000"</f>
        <v>2003-04-02 16:08:26.000000</v>
      </c>
      <c r="U139" t="str">
        <f t="shared" si="10"/>
        <v>008</v>
      </c>
    </row>
    <row r="140" spans="1:21">
      <c r="A140" t="str">
        <f>"00035984"</f>
        <v>00035984</v>
      </c>
      <c r="B140" t="s">
        <v>21</v>
      </c>
      <c r="C140" t="s">
        <v>297</v>
      </c>
      <c r="F140" t="s">
        <v>329</v>
      </c>
      <c r="G140" t="s">
        <v>26</v>
      </c>
      <c r="J140" t="s">
        <v>26</v>
      </c>
      <c r="K140" t="str">
        <f>"9559260,"</f>
        <v>9559260,</v>
      </c>
      <c r="Q140" t="s">
        <v>28</v>
      </c>
      <c r="R140" t="s">
        <v>29</v>
      </c>
      <c r="T140" t="str">
        <f>"2003-04-02 16:08:26.000000"</f>
        <v>2003-04-02 16:08:26.000000</v>
      </c>
      <c r="U140" t="str">
        <f t="shared" si="10"/>
        <v>008</v>
      </c>
    </row>
    <row r="141" spans="1:21">
      <c r="A141" t="str">
        <f>"00036876"</f>
        <v>00036876</v>
      </c>
      <c r="B141" t="s">
        <v>21</v>
      </c>
      <c r="C141" t="s">
        <v>330</v>
      </c>
      <c r="F141" t="s">
        <v>331</v>
      </c>
      <c r="G141" t="s">
        <v>332</v>
      </c>
      <c r="H141" t="s">
        <v>26</v>
      </c>
      <c r="J141" t="s">
        <v>26</v>
      </c>
      <c r="K141" t="str">
        <f>"8817360,"</f>
        <v>8817360,</v>
      </c>
      <c r="Q141" t="s">
        <v>28</v>
      </c>
      <c r="R141" t="s">
        <v>29</v>
      </c>
      <c r="T141" t="str">
        <f>"2003-04-02 20:45:18.000000"</f>
        <v>2003-04-02 20:45:18.000000</v>
      </c>
      <c r="U141" t="str">
        <f t="shared" ref="U141:U188" si="11">"003"</f>
        <v>003</v>
      </c>
    </row>
    <row r="142" spans="1:21">
      <c r="A142" t="str">
        <f>"00036879"</f>
        <v>00036879</v>
      </c>
      <c r="B142" t="s">
        <v>21</v>
      </c>
      <c r="C142" t="s">
        <v>330</v>
      </c>
      <c r="F142" t="s">
        <v>333</v>
      </c>
      <c r="G142" t="s">
        <v>332</v>
      </c>
      <c r="H142" t="s">
        <v>26</v>
      </c>
      <c r="J142" t="s">
        <v>26</v>
      </c>
      <c r="K142" t="str">
        <f>"8817360"</f>
        <v>8817360</v>
      </c>
      <c r="Q142" t="s">
        <v>28</v>
      </c>
      <c r="R142" t="s">
        <v>29</v>
      </c>
      <c r="T142" t="str">
        <f>"2003-04-02 20:45:18.000000"</f>
        <v>2003-04-02 20:45:18.000000</v>
      </c>
      <c r="U142" t="str">
        <f t="shared" si="11"/>
        <v>003</v>
      </c>
    </row>
    <row r="143" spans="1:21">
      <c r="A143" t="str">
        <f>"00036885"</f>
        <v>00036885</v>
      </c>
      <c r="B143" t="s">
        <v>21</v>
      </c>
      <c r="C143" t="s">
        <v>334</v>
      </c>
      <c r="D143" t="s">
        <v>335</v>
      </c>
      <c r="F143" t="s">
        <v>336</v>
      </c>
      <c r="G143" t="s">
        <v>337</v>
      </c>
      <c r="H143" t="s">
        <v>26</v>
      </c>
      <c r="J143" t="s">
        <v>26</v>
      </c>
      <c r="Q143" t="s">
        <v>28</v>
      </c>
      <c r="R143" t="s">
        <v>29</v>
      </c>
      <c r="T143" t="str">
        <f>"2004-06-26 16:06:38.000000"</f>
        <v>2004-06-26 16:06:38.000000</v>
      </c>
      <c r="U143" t="str">
        <f t="shared" si="11"/>
        <v>003</v>
      </c>
    </row>
    <row r="144" spans="1:21">
      <c r="A144" t="str">
        <f>"00036886"</f>
        <v>00036886</v>
      </c>
      <c r="B144" t="s">
        <v>21</v>
      </c>
      <c r="C144" t="s">
        <v>334</v>
      </c>
      <c r="D144" t="s">
        <v>338</v>
      </c>
      <c r="F144" t="s">
        <v>339</v>
      </c>
      <c r="G144" t="s">
        <v>337</v>
      </c>
      <c r="H144" t="s">
        <v>26</v>
      </c>
      <c r="J144" t="s">
        <v>26</v>
      </c>
      <c r="Q144" t="s">
        <v>28</v>
      </c>
      <c r="R144" t="s">
        <v>29</v>
      </c>
      <c r="T144" t="str">
        <f>"2004-06-27 09:40:05.000000"</f>
        <v>2004-06-27 09:40:05.000000</v>
      </c>
      <c r="U144" t="str">
        <f t="shared" si="11"/>
        <v>003</v>
      </c>
    </row>
    <row r="145" spans="1:21">
      <c r="A145" t="str">
        <f>"00036887"</f>
        <v>00036887</v>
      </c>
      <c r="B145" t="s">
        <v>21</v>
      </c>
      <c r="C145" t="s">
        <v>334</v>
      </c>
      <c r="D145" t="s">
        <v>338</v>
      </c>
      <c r="F145" t="s">
        <v>339</v>
      </c>
      <c r="G145" t="s">
        <v>340</v>
      </c>
      <c r="H145" t="s">
        <v>26</v>
      </c>
      <c r="J145" t="s">
        <v>26</v>
      </c>
      <c r="Q145" t="s">
        <v>28</v>
      </c>
      <c r="R145" t="s">
        <v>29</v>
      </c>
      <c r="T145" t="str">
        <f>"2004-07-05 15:27:20.000000"</f>
        <v>2004-07-05 15:27:20.000000</v>
      </c>
      <c r="U145" t="str">
        <f t="shared" si="11"/>
        <v>003</v>
      </c>
    </row>
    <row r="146" spans="1:21">
      <c r="A146" t="str">
        <f>"00036888"</f>
        <v>00036888</v>
      </c>
      <c r="B146" t="s">
        <v>21</v>
      </c>
      <c r="C146" t="s">
        <v>341</v>
      </c>
      <c r="D146" t="s">
        <v>342</v>
      </c>
      <c r="F146" t="s">
        <v>343</v>
      </c>
      <c r="G146" t="s">
        <v>344</v>
      </c>
      <c r="H146" t="s">
        <v>345</v>
      </c>
      <c r="J146" t="s">
        <v>26</v>
      </c>
      <c r="Q146" t="s">
        <v>28</v>
      </c>
      <c r="R146" t="s">
        <v>29</v>
      </c>
      <c r="T146" t="str">
        <f>"2004-07-10 09:45:19.000000"</f>
        <v>2004-07-10 09:45:19.000000</v>
      </c>
      <c r="U146" t="str">
        <f t="shared" si="11"/>
        <v>003</v>
      </c>
    </row>
    <row r="147" spans="1:21">
      <c r="A147" t="str">
        <f>"00036889"</f>
        <v>00036889</v>
      </c>
      <c r="B147" t="s">
        <v>21</v>
      </c>
      <c r="C147" t="s">
        <v>334</v>
      </c>
      <c r="D147" t="s">
        <v>335</v>
      </c>
      <c r="F147" t="s">
        <v>339</v>
      </c>
      <c r="G147" t="s">
        <v>340</v>
      </c>
      <c r="H147" t="s">
        <v>26</v>
      </c>
      <c r="J147" t="s">
        <v>26</v>
      </c>
      <c r="Q147" t="s">
        <v>28</v>
      </c>
      <c r="R147" t="s">
        <v>29</v>
      </c>
      <c r="T147" t="str">
        <f>"2004-07-12 09:49:08.000000"</f>
        <v>2004-07-12 09:49:08.000000</v>
      </c>
      <c r="U147" t="str">
        <f t="shared" si="11"/>
        <v>003</v>
      </c>
    </row>
    <row r="148" spans="1:21">
      <c r="A148" t="str">
        <f>"00036893"</f>
        <v>00036893</v>
      </c>
      <c r="B148" t="s">
        <v>21</v>
      </c>
      <c r="C148" t="s">
        <v>330</v>
      </c>
      <c r="F148" t="s">
        <v>339</v>
      </c>
      <c r="G148" t="s">
        <v>340</v>
      </c>
      <c r="H148" t="s">
        <v>26</v>
      </c>
      <c r="J148" t="s">
        <v>26</v>
      </c>
      <c r="Q148" t="s">
        <v>28</v>
      </c>
      <c r="R148" t="s">
        <v>29</v>
      </c>
      <c r="T148" t="str">
        <f>"2004-06-15 12:26:41.000000"</f>
        <v>2004-06-15 12:26:41.000000</v>
      </c>
      <c r="U148" t="str">
        <f t="shared" si="11"/>
        <v>003</v>
      </c>
    </row>
    <row r="149" spans="1:21">
      <c r="A149" t="str">
        <f>"00036894"</f>
        <v>00036894</v>
      </c>
      <c r="B149" t="s">
        <v>21</v>
      </c>
      <c r="C149" t="s">
        <v>330</v>
      </c>
      <c r="F149" t="s">
        <v>346</v>
      </c>
      <c r="G149" t="s">
        <v>332</v>
      </c>
      <c r="H149" t="s">
        <v>26</v>
      </c>
      <c r="J149" t="s">
        <v>26</v>
      </c>
      <c r="K149" t="str">
        <f>"8817360"</f>
        <v>8817360</v>
      </c>
      <c r="Q149" t="s">
        <v>28</v>
      </c>
      <c r="R149" t="s">
        <v>29</v>
      </c>
      <c r="T149" t="str">
        <f>"2003-04-02 20:45:18.000000"</f>
        <v>2003-04-02 20:45:18.000000</v>
      </c>
      <c r="U149" t="str">
        <f t="shared" si="11"/>
        <v>003</v>
      </c>
    </row>
    <row r="150" spans="1:21">
      <c r="A150" t="str">
        <f>"00036896"</f>
        <v>00036896</v>
      </c>
      <c r="B150" t="s">
        <v>21</v>
      </c>
      <c r="C150" t="s">
        <v>347</v>
      </c>
      <c r="D150" t="s">
        <v>348</v>
      </c>
      <c r="F150" t="s">
        <v>349</v>
      </c>
      <c r="G150" t="s">
        <v>41</v>
      </c>
      <c r="J150" t="s">
        <v>26</v>
      </c>
      <c r="Q150" t="s">
        <v>28</v>
      </c>
      <c r="R150" t="s">
        <v>29</v>
      </c>
      <c r="T150" t="str">
        <f>"2003-04-02 20:45:18.000000"</f>
        <v>2003-04-02 20:45:18.000000</v>
      </c>
      <c r="U150" t="str">
        <f t="shared" si="11"/>
        <v>003</v>
      </c>
    </row>
    <row r="151" spans="1:21">
      <c r="A151" t="str">
        <f>"00036897"</f>
        <v>00036897</v>
      </c>
      <c r="B151" t="s">
        <v>21</v>
      </c>
      <c r="C151" t="s">
        <v>347</v>
      </c>
      <c r="D151" t="s">
        <v>348</v>
      </c>
      <c r="F151" t="s">
        <v>350</v>
      </c>
      <c r="G151" t="s">
        <v>41</v>
      </c>
      <c r="J151" t="s">
        <v>26</v>
      </c>
      <c r="Q151" t="s">
        <v>28</v>
      </c>
      <c r="R151" t="s">
        <v>29</v>
      </c>
      <c r="T151" t="str">
        <f>"2003-04-02 20:45:18.000000"</f>
        <v>2003-04-02 20:45:18.000000</v>
      </c>
      <c r="U151" t="str">
        <f t="shared" si="11"/>
        <v>003</v>
      </c>
    </row>
    <row r="152" spans="1:21">
      <c r="A152" t="str">
        <f>"00036898"</f>
        <v>00036898</v>
      </c>
      <c r="B152" t="s">
        <v>21</v>
      </c>
      <c r="C152" t="s">
        <v>347</v>
      </c>
      <c r="D152" t="s">
        <v>348</v>
      </c>
      <c r="F152" t="s">
        <v>350</v>
      </c>
      <c r="G152" t="s">
        <v>41</v>
      </c>
      <c r="J152" t="s">
        <v>26</v>
      </c>
      <c r="Q152" t="s">
        <v>28</v>
      </c>
      <c r="R152" t="s">
        <v>29</v>
      </c>
      <c r="T152" t="str">
        <f>"2003-04-02 20:45:18.000000"</f>
        <v>2003-04-02 20:45:18.000000</v>
      </c>
      <c r="U152" t="str">
        <f t="shared" si="11"/>
        <v>003</v>
      </c>
    </row>
    <row r="153" spans="1:21">
      <c r="A153" t="str">
        <f>"00036901"</f>
        <v>00036901</v>
      </c>
      <c r="B153" t="s">
        <v>21</v>
      </c>
      <c r="C153" t="s">
        <v>330</v>
      </c>
      <c r="F153" t="s">
        <v>339</v>
      </c>
      <c r="G153" t="s">
        <v>337</v>
      </c>
      <c r="H153" t="s">
        <v>26</v>
      </c>
      <c r="J153" t="s">
        <v>26</v>
      </c>
      <c r="Q153" t="s">
        <v>28</v>
      </c>
      <c r="R153" t="s">
        <v>29</v>
      </c>
      <c r="T153" t="str">
        <f>"2004-06-15 14:17:49.000000"</f>
        <v>2004-06-15 14:17:49.000000</v>
      </c>
      <c r="U153" t="str">
        <f t="shared" si="11"/>
        <v>003</v>
      </c>
    </row>
    <row r="154" spans="1:21">
      <c r="A154" t="str">
        <f>"00036904"</f>
        <v>00036904</v>
      </c>
      <c r="B154" t="s">
        <v>21</v>
      </c>
      <c r="C154" t="s">
        <v>330</v>
      </c>
      <c r="F154" t="s">
        <v>331</v>
      </c>
      <c r="G154" t="s">
        <v>351</v>
      </c>
      <c r="J154" t="s">
        <v>26</v>
      </c>
      <c r="Q154" t="s">
        <v>28</v>
      </c>
      <c r="R154" t="s">
        <v>29</v>
      </c>
      <c r="T154" t="str">
        <f>"2003-04-02 20:45:18.000000"</f>
        <v>2003-04-02 20:45:18.000000</v>
      </c>
      <c r="U154" t="str">
        <f t="shared" si="11"/>
        <v>003</v>
      </c>
    </row>
    <row r="155" spans="1:21">
      <c r="A155" t="str">
        <f>"00036938"</f>
        <v>00036938</v>
      </c>
      <c r="B155" t="s">
        <v>21</v>
      </c>
      <c r="C155" t="s">
        <v>352</v>
      </c>
      <c r="D155" t="s">
        <v>353</v>
      </c>
      <c r="F155" t="s">
        <v>354</v>
      </c>
      <c r="G155" t="s">
        <v>26</v>
      </c>
      <c r="J155" t="s">
        <v>26</v>
      </c>
      <c r="Q155" t="s">
        <v>28</v>
      </c>
      <c r="R155" t="s">
        <v>29</v>
      </c>
      <c r="T155" t="str">
        <f>"2004-07-18 14:46:39.000000"</f>
        <v>2004-07-18 14:46:39.000000</v>
      </c>
      <c r="U155" t="str">
        <f t="shared" si="11"/>
        <v>003</v>
      </c>
    </row>
    <row r="156" spans="1:21">
      <c r="A156" t="str">
        <f>"00036939"</f>
        <v>00036939</v>
      </c>
      <c r="B156" t="s">
        <v>21</v>
      </c>
      <c r="C156" t="s">
        <v>352</v>
      </c>
      <c r="D156" t="s">
        <v>353</v>
      </c>
      <c r="F156" t="s">
        <v>354</v>
      </c>
      <c r="G156" t="s">
        <v>26</v>
      </c>
      <c r="J156" t="s">
        <v>26</v>
      </c>
      <c r="Q156" t="s">
        <v>28</v>
      </c>
      <c r="R156" t="s">
        <v>29</v>
      </c>
      <c r="T156" t="str">
        <f>"2004-07-18 14:47:27.000000"</f>
        <v>2004-07-18 14:47:27.000000</v>
      </c>
      <c r="U156" t="str">
        <f t="shared" si="11"/>
        <v>003</v>
      </c>
    </row>
    <row r="157" spans="1:21">
      <c r="A157" t="str">
        <f>"00036986"</f>
        <v>00036986</v>
      </c>
      <c r="B157" t="s">
        <v>21</v>
      </c>
      <c r="C157" t="s">
        <v>355</v>
      </c>
      <c r="F157" t="s">
        <v>339</v>
      </c>
      <c r="G157" t="s">
        <v>337</v>
      </c>
      <c r="H157" t="s">
        <v>26</v>
      </c>
      <c r="J157" t="s">
        <v>26</v>
      </c>
      <c r="Q157" t="s">
        <v>28</v>
      </c>
      <c r="R157" t="s">
        <v>29</v>
      </c>
      <c r="T157" t="str">
        <f>"2004-06-15 14:33:44.000000"</f>
        <v>2004-06-15 14:33:44.000000</v>
      </c>
      <c r="U157" t="str">
        <f t="shared" si="11"/>
        <v>003</v>
      </c>
    </row>
    <row r="158" spans="1:21">
      <c r="A158" t="str">
        <f>"00036990"</f>
        <v>00036990</v>
      </c>
      <c r="B158" t="s">
        <v>21</v>
      </c>
      <c r="C158" t="s">
        <v>341</v>
      </c>
      <c r="D158" t="s">
        <v>342</v>
      </c>
      <c r="F158" t="s">
        <v>343</v>
      </c>
      <c r="G158" t="s">
        <v>344</v>
      </c>
      <c r="H158" t="s">
        <v>345</v>
      </c>
      <c r="J158" t="s">
        <v>26</v>
      </c>
      <c r="Q158" t="s">
        <v>28</v>
      </c>
      <c r="R158" t="s">
        <v>29</v>
      </c>
      <c r="T158" t="str">
        <f>"2004-07-10 09:47:47.000000"</f>
        <v>2004-07-10 09:47:47.000000</v>
      </c>
      <c r="U158" t="str">
        <f t="shared" si="11"/>
        <v>003</v>
      </c>
    </row>
    <row r="159" spans="1:21">
      <c r="A159" t="str">
        <f>"00036996"</f>
        <v>00036996</v>
      </c>
      <c r="B159" t="s">
        <v>21</v>
      </c>
      <c r="C159" t="s">
        <v>330</v>
      </c>
      <c r="F159" t="s">
        <v>339</v>
      </c>
      <c r="G159" t="s">
        <v>337</v>
      </c>
      <c r="H159" t="s">
        <v>26</v>
      </c>
      <c r="J159" t="s">
        <v>26</v>
      </c>
      <c r="Q159" t="s">
        <v>28</v>
      </c>
      <c r="R159" t="s">
        <v>29</v>
      </c>
      <c r="T159" t="str">
        <f>"2004-06-15 14:46:10.000000"</f>
        <v>2004-06-15 14:46:10.000000</v>
      </c>
      <c r="U159" t="str">
        <f t="shared" si="11"/>
        <v>003</v>
      </c>
    </row>
    <row r="160" spans="1:21">
      <c r="A160" t="str">
        <f>"00037013"</f>
        <v>00037013</v>
      </c>
      <c r="B160" t="s">
        <v>21</v>
      </c>
      <c r="C160" t="s">
        <v>330</v>
      </c>
      <c r="F160" t="s">
        <v>356</v>
      </c>
      <c r="G160" t="s">
        <v>357</v>
      </c>
      <c r="H160" t="s">
        <v>26</v>
      </c>
      <c r="J160" t="s">
        <v>26</v>
      </c>
      <c r="K160" t="str">
        <f>"8817360,"</f>
        <v>8817360,</v>
      </c>
      <c r="Q160" t="s">
        <v>28</v>
      </c>
      <c r="R160" t="s">
        <v>29</v>
      </c>
      <c r="T160" t="str">
        <f>"2003-04-02 20:45:18.000000"</f>
        <v>2003-04-02 20:45:18.000000</v>
      </c>
      <c r="U160" t="str">
        <f t="shared" si="11"/>
        <v>003</v>
      </c>
    </row>
    <row r="161" spans="1:21">
      <c r="A161" t="str">
        <f>"00037053"</f>
        <v>00037053</v>
      </c>
      <c r="B161" t="s">
        <v>21</v>
      </c>
      <c r="C161" t="s">
        <v>330</v>
      </c>
      <c r="F161" t="s">
        <v>358</v>
      </c>
      <c r="G161" t="s">
        <v>359</v>
      </c>
      <c r="J161" t="s">
        <v>26</v>
      </c>
      <c r="K161" t="str">
        <f>"8817360,"</f>
        <v>8817360,</v>
      </c>
      <c r="Q161" t="s">
        <v>28</v>
      </c>
      <c r="R161" t="s">
        <v>29</v>
      </c>
      <c r="T161" t="str">
        <f>"2003-04-02 20:45:18.000000"</f>
        <v>2003-04-02 20:45:18.000000</v>
      </c>
      <c r="U161" t="str">
        <f t="shared" si="11"/>
        <v>003</v>
      </c>
    </row>
    <row r="162" spans="1:21">
      <c r="A162" t="str">
        <f>"00037058"</f>
        <v>00037058</v>
      </c>
      <c r="B162" t="s">
        <v>21</v>
      </c>
      <c r="C162" t="s">
        <v>360</v>
      </c>
      <c r="D162" t="s">
        <v>361</v>
      </c>
      <c r="F162" t="s">
        <v>362</v>
      </c>
      <c r="G162" t="s">
        <v>363</v>
      </c>
      <c r="H162" t="s">
        <v>26</v>
      </c>
      <c r="J162" t="s">
        <v>26</v>
      </c>
      <c r="Q162" t="s">
        <v>28</v>
      </c>
      <c r="R162" t="s">
        <v>29</v>
      </c>
      <c r="T162" t="str">
        <f>"2004-06-19 14:09:01.000000"</f>
        <v>2004-06-19 14:09:01.000000</v>
      </c>
      <c r="U162" t="str">
        <f t="shared" si="11"/>
        <v>003</v>
      </c>
    </row>
    <row r="163" spans="1:21">
      <c r="A163" t="str">
        <f>"00037072"</f>
        <v>00037072</v>
      </c>
      <c r="B163" t="s">
        <v>21</v>
      </c>
      <c r="C163" t="s">
        <v>330</v>
      </c>
      <c r="F163" t="s">
        <v>339</v>
      </c>
      <c r="G163" t="s">
        <v>340</v>
      </c>
      <c r="H163" t="s">
        <v>26</v>
      </c>
      <c r="J163" t="s">
        <v>26</v>
      </c>
      <c r="Q163" t="s">
        <v>28</v>
      </c>
      <c r="R163" t="s">
        <v>29</v>
      </c>
      <c r="T163" t="str">
        <f>"2004-07-18 11:14:57.000000"</f>
        <v>2004-07-18 11:14:57.000000</v>
      </c>
      <c r="U163" t="str">
        <f t="shared" si="11"/>
        <v>003</v>
      </c>
    </row>
    <row r="164" spans="1:21">
      <c r="A164" t="str">
        <f>"00037083"</f>
        <v>00037083</v>
      </c>
      <c r="B164" t="s">
        <v>21</v>
      </c>
      <c r="C164" t="s">
        <v>330</v>
      </c>
      <c r="F164" t="s">
        <v>364</v>
      </c>
      <c r="G164" t="s">
        <v>365</v>
      </c>
      <c r="J164" t="s">
        <v>26</v>
      </c>
      <c r="Q164" t="s">
        <v>28</v>
      </c>
      <c r="R164" t="s">
        <v>29</v>
      </c>
      <c r="T164" t="str">
        <f>"2003-04-02 20:45:18.000000"</f>
        <v>2003-04-02 20:45:18.000000</v>
      </c>
      <c r="U164" t="str">
        <f t="shared" si="11"/>
        <v>003</v>
      </c>
    </row>
    <row r="165" spans="1:21">
      <c r="A165" t="str">
        <f>"00037111"</f>
        <v>00037111</v>
      </c>
      <c r="B165" t="s">
        <v>21</v>
      </c>
      <c r="C165" t="s">
        <v>330</v>
      </c>
      <c r="F165" t="s">
        <v>366</v>
      </c>
      <c r="G165" t="s">
        <v>367</v>
      </c>
      <c r="J165" t="s">
        <v>26</v>
      </c>
      <c r="Q165" t="s">
        <v>28</v>
      </c>
      <c r="R165" t="s">
        <v>29</v>
      </c>
      <c r="T165" t="str">
        <f>"2003-04-02 20:45:18.000000"</f>
        <v>2003-04-02 20:45:18.000000</v>
      </c>
      <c r="U165" t="str">
        <f t="shared" si="11"/>
        <v>003</v>
      </c>
    </row>
    <row r="166" spans="1:21">
      <c r="A166" t="str">
        <f>"00037113"</f>
        <v>00037113</v>
      </c>
      <c r="B166" t="s">
        <v>21</v>
      </c>
      <c r="C166" t="s">
        <v>330</v>
      </c>
      <c r="F166" t="s">
        <v>339</v>
      </c>
      <c r="G166" t="s">
        <v>337</v>
      </c>
      <c r="H166" t="s">
        <v>26</v>
      </c>
      <c r="J166" t="s">
        <v>26</v>
      </c>
      <c r="Q166" t="s">
        <v>28</v>
      </c>
      <c r="R166" t="s">
        <v>29</v>
      </c>
      <c r="T166" t="str">
        <f>"2004-06-17 10:52:05.000000"</f>
        <v>2004-06-17 10:52:05.000000</v>
      </c>
      <c r="U166" t="str">
        <f t="shared" si="11"/>
        <v>003</v>
      </c>
    </row>
    <row r="167" spans="1:21">
      <c r="A167" t="str">
        <f>"00037118"</f>
        <v>00037118</v>
      </c>
      <c r="B167" t="s">
        <v>21</v>
      </c>
      <c r="C167" t="s">
        <v>341</v>
      </c>
      <c r="D167" t="s">
        <v>342</v>
      </c>
      <c r="F167" t="s">
        <v>343</v>
      </c>
      <c r="G167" t="s">
        <v>368</v>
      </c>
      <c r="H167" t="s">
        <v>345</v>
      </c>
      <c r="J167" t="s">
        <v>26</v>
      </c>
      <c r="Q167" t="s">
        <v>28</v>
      </c>
      <c r="R167" t="s">
        <v>29</v>
      </c>
      <c r="T167" t="str">
        <f>"2004-06-24 09:22:16.000000"</f>
        <v>2004-06-24 09:22:16.000000</v>
      </c>
      <c r="U167" t="str">
        <f t="shared" si="11"/>
        <v>003</v>
      </c>
    </row>
    <row r="168" spans="1:21">
      <c r="A168" t="str">
        <f>"00037120"</f>
        <v>00037120</v>
      </c>
      <c r="B168" t="s">
        <v>21</v>
      </c>
      <c r="C168" t="s">
        <v>334</v>
      </c>
      <c r="D168" t="s">
        <v>335</v>
      </c>
      <c r="F168" t="s">
        <v>339</v>
      </c>
      <c r="G168" t="s">
        <v>337</v>
      </c>
      <c r="H168" t="s">
        <v>26</v>
      </c>
      <c r="J168" t="s">
        <v>26</v>
      </c>
      <c r="Q168" t="s">
        <v>28</v>
      </c>
      <c r="R168" t="s">
        <v>29</v>
      </c>
      <c r="T168" t="str">
        <f>"2004-06-29 12:29:53.000000"</f>
        <v>2004-06-29 12:29:53.000000</v>
      </c>
      <c r="U168" t="str">
        <f t="shared" si="11"/>
        <v>003</v>
      </c>
    </row>
    <row r="169" spans="1:21">
      <c r="A169" t="str">
        <f>"00037128"</f>
        <v>00037128</v>
      </c>
      <c r="B169" t="s">
        <v>21</v>
      </c>
      <c r="C169" t="s">
        <v>334</v>
      </c>
      <c r="D169" t="s">
        <v>335</v>
      </c>
      <c r="F169" t="s">
        <v>339</v>
      </c>
      <c r="G169" t="s">
        <v>337</v>
      </c>
      <c r="H169" t="s">
        <v>26</v>
      </c>
      <c r="J169" t="s">
        <v>26</v>
      </c>
      <c r="Q169" t="s">
        <v>28</v>
      </c>
      <c r="R169" t="s">
        <v>29</v>
      </c>
      <c r="T169" t="str">
        <f>"2004-07-06 11:26:48.000000"</f>
        <v>2004-07-06 11:26:48.000000</v>
      </c>
      <c r="U169" t="str">
        <f t="shared" si="11"/>
        <v>003</v>
      </c>
    </row>
    <row r="170" spans="1:21">
      <c r="A170" t="str">
        <f>"00037133"</f>
        <v>00037133</v>
      </c>
      <c r="B170" t="s">
        <v>21</v>
      </c>
      <c r="C170" t="s">
        <v>330</v>
      </c>
      <c r="F170" t="s">
        <v>339</v>
      </c>
      <c r="G170" t="s">
        <v>340</v>
      </c>
      <c r="H170" t="s">
        <v>26</v>
      </c>
      <c r="J170" t="s">
        <v>26</v>
      </c>
      <c r="Q170" t="s">
        <v>28</v>
      </c>
      <c r="R170" t="s">
        <v>29</v>
      </c>
      <c r="T170" t="str">
        <f>"2004-07-10 09:48:38.000000"</f>
        <v>2004-07-10 09:48:38.000000</v>
      </c>
      <c r="U170" t="str">
        <f t="shared" si="11"/>
        <v>003</v>
      </c>
    </row>
    <row r="171" spans="1:21">
      <c r="A171" t="str">
        <f>"00037142"</f>
        <v>00037142</v>
      </c>
      <c r="B171" t="s">
        <v>21</v>
      </c>
      <c r="C171" t="s">
        <v>352</v>
      </c>
      <c r="D171" t="s">
        <v>353</v>
      </c>
      <c r="F171" t="s">
        <v>354</v>
      </c>
      <c r="G171" t="s">
        <v>26</v>
      </c>
      <c r="J171" t="s">
        <v>26</v>
      </c>
      <c r="Q171" t="s">
        <v>28</v>
      </c>
      <c r="R171" t="s">
        <v>29</v>
      </c>
      <c r="T171" t="str">
        <f>"2004-07-20 16:55:39.000000"</f>
        <v>2004-07-20 16:55:39.000000</v>
      </c>
      <c r="U171" t="str">
        <f t="shared" si="11"/>
        <v>003</v>
      </c>
    </row>
    <row r="172" spans="1:21">
      <c r="A172" t="str">
        <f>"00037143"</f>
        <v>00037143</v>
      </c>
      <c r="B172" t="s">
        <v>21</v>
      </c>
      <c r="C172" t="s">
        <v>352</v>
      </c>
      <c r="D172" t="s">
        <v>353</v>
      </c>
      <c r="F172" t="s">
        <v>354</v>
      </c>
      <c r="G172" t="s">
        <v>278</v>
      </c>
      <c r="J172" t="s">
        <v>26</v>
      </c>
      <c r="Q172" t="s">
        <v>28</v>
      </c>
      <c r="R172" t="s">
        <v>29</v>
      </c>
      <c r="T172" t="str">
        <f>"2004-07-20 16:56:53.000000"</f>
        <v>2004-07-20 16:56:53.000000</v>
      </c>
      <c r="U172" t="str">
        <f t="shared" si="11"/>
        <v>003</v>
      </c>
    </row>
    <row r="173" spans="1:21">
      <c r="A173" t="str">
        <f>"00037147"</f>
        <v>00037147</v>
      </c>
      <c r="B173" t="s">
        <v>21</v>
      </c>
      <c r="C173" t="s">
        <v>330</v>
      </c>
      <c r="F173" t="s">
        <v>339</v>
      </c>
      <c r="G173" t="s">
        <v>340</v>
      </c>
      <c r="H173" t="s">
        <v>26</v>
      </c>
      <c r="J173" t="s">
        <v>26</v>
      </c>
      <c r="Q173" t="s">
        <v>28</v>
      </c>
      <c r="R173" t="s">
        <v>29</v>
      </c>
      <c r="T173" t="str">
        <f>"2004-07-31 10:34:30.000000"</f>
        <v>2004-07-31 10:34:30.000000</v>
      </c>
      <c r="U173" t="str">
        <f t="shared" si="11"/>
        <v>003</v>
      </c>
    </row>
    <row r="174" spans="1:21">
      <c r="A174" t="str">
        <f>"00037151"</f>
        <v>00037151</v>
      </c>
      <c r="B174" t="s">
        <v>21</v>
      </c>
      <c r="C174" t="s">
        <v>369</v>
      </c>
      <c r="D174" t="s">
        <v>370</v>
      </c>
      <c r="F174" t="s">
        <v>371</v>
      </c>
      <c r="G174" t="s">
        <v>372</v>
      </c>
      <c r="J174" t="s">
        <v>26</v>
      </c>
      <c r="Q174" t="s">
        <v>28</v>
      </c>
      <c r="R174" t="s">
        <v>29</v>
      </c>
      <c r="T174" t="str">
        <f>"2003-04-02 20:45:18.000000"</f>
        <v>2003-04-02 20:45:18.000000</v>
      </c>
      <c r="U174" t="str">
        <f t="shared" si="11"/>
        <v>003</v>
      </c>
    </row>
    <row r="175" spans="1:21">
      <c r="A175" t="str">
        <f>"00037192"</f>
        <v>00037192</v>
      </c>
      <c r="B175" t="s">
        <v>21</v>
      </c>
      <c r="C175" t="s">
        <v>341</v>
      </c>
      <c r="D175" t="s">
        <v>342</v>
      </c>
      <c r="F175" t="s">
        <v>343</v>
      </c>
      <c r="G175" t="s">
        <v>344</v>
      </c>
      <c r="H175" t="s">
        <v>345</v>
      </c>
      <c r="J175" t="s">
        <v>26</v>
      </c>
      <c r="Q175" t="s">
        <v>28</v>
      </c>
      <c r="R175" t="s">
        <v>29</v>
      </c>
      <c r="T175" t="str">
        <f>"2004-09-26 15:07:28.000000"</f>
        <v>2004-09-26 15:07:28.000000</v>
      </c>
      <c r="U175" t="str">
        <f t="shared" si="11"/>
        <v>003</v>
      </c>
    </row>
    <row r="176" spans="1:21">
      <c r="A176" t="str">
        <f>"00037193"</f>
        <v>00037193</v>
      </c>
      <c r="B176" t="s">
        <v>21</v>
      </c>
      <c r="C176" t="s">
        <v>341</v>
      </c>
      <c r="D176" t="s">
        <v>342</v>
      </c>
      <c r="F176" t="s">
        <v>343</v>
      </c>
      <c r="G176" t="s">
        <v>344</v>
      </c>
      <c r="H176" t="s">
        <v>345</v>
      </c>
      <c r="J176" t="s">
        <v>26</v>
      </c>
      <c r="Q176" t="s">
        <v>28</v>
      </c>
      <c r="R176" t="s">
        <v>29</v>
      </c>
      <c r="T176" t="str">
        <f>"2004-09-30 10:27:06.000000"</f>
        <v>2004-09-30 10:27:06.000000</v>
      </c>
      <c r="U176" t="str">
        <f t="shared" si="11"/>
        <v>003</v>
      </c>
    </row>
    <row r="177" spans="1:21">
      <c r="A177" t="str">
        <f>"00037217"</f>
        <v>00037217</v>
      </c>
      <c r="B177" t="s">
        <v>21</v>
      </c>
      <c r="C177" t="s">
        <v>373</v>
      </c>
      <c r="F177" t="s">
        <v>374</v>
      </c>
      <c r="G177" t="s">
        <v>375</v>
      </c>
      <c r="H177" t="s">
        <v>278</v>
      </c>
      <c r="J177" t="s">
        <v>26</v>
      </c>
      <c r="K177" t="str">
        <f>"8817360"</f>
        <v>8817360</v>
      </c>
      <c r="Q177" t="s">
        <v>28</v>
      </c>
      <c r="R177" t="s">
        <v>29</v>
      </c>
      <c r="T177" t="str">
        <f t="shared" ref="T177:T188" si="12">"2003-04-02 20:45:18.000000"</f>
        <v>2003-04-02 20:45:18.000000</v>
      </c>
      <c r="U177" t="str">
        <f t="shared" si="11"/>
        <v>003</v>
      </c>
    </row>
    <row r="178" spans="1:21">
      <c r="A178" t="str">
        <f>"00037221"</f>
        <v>00037221</v>
      </c>
      <c r="B178" t="s">
        <v>21</v>
      </c>
      <c r="C178" t="s">
        <v>330</v>
      </c>
      <c r="F178" t="s">
        <v>376</v>
      </c>
      <c r="G178" t="s">
        <v>377</v>
      </c>
      <c r="J178" t="s">
        <v>26</v>
      </c>
      <c r="Q178" t="s">
        <v>28</v>
      </c>
      <c r="R178" t="s">
        <v>29</v>
      </c>
      <c r="T178" t="str">
        <f t="shared" si="12"/>
        <v>2003-04-02 20:45:18.000000</v>
      </c>
      <c r="U178" t="str">
        <f t="shared" si="11"/>
        <v>003</v>
      </c>
    </row>
    <row r="179" spans="1:21">
      <c r="A179" t="str">
        <f>"00037227"</f>
        <v>00037227</v>
      </c>
      <c r="B179" t="s">
        <v>21</v>
      </c>
      <c r="C179" t="s">
        <v>330</v>
      </c>
      <c r="F179" t="s">
        <v>378</v>
      </c>
      <c r="G179" t="s">
        <v>379</v>
      </c>
      <c r="J179" t="s">
        <v>26</v>
      </c>
      <c r="Q179" t="s">
        <v>28</v>
      </c>
      <c r="R179" t="s">
        <v>29</v>
      </c>
      <c r="T179" t="str">
        <f t="shared" si="12"/>
        <v>2003-04-02 20:45:18.000000</v>
      </c>
      <c r="U179" t="str">
        <f t="shared" si="11"/>
        <v>003</v>
      </c>
    </row>
    <row r="180" spans="1:21">
      <c r="A180" t="str">
        <f>"00037240"</f>
        <v>00037240</v>
      </c>
      <c r="B180" t="s">
        <v>21</v>
      </c>
      <c r="C180" t="s">
        <v>380</v>
      </c>
      <c r="F180" t="s">
        <v>381</v>
      </c>
      <c r="G180" t="s">
        <v>382</v>
      </c>
      <c r="J180" t="s">
        <v>26</v>
      </c>
      <c r="Q180" t="s">
        <v>28</v>
      </c>
      <c r="R180" t="s">
        <v>29</v>
      </c>
      <c r="T180" t="str">
        <f t="shared" si="12"/>
        <v>2003-04-02 20:45:18.000000</v>
      </c>
      <c r="U180" t="str">
        <f t="shared" si="11"/>
        <v>003</v>
      </c>
    </row>
    <row r="181" spans="1:21">
      <c r="A181" t="str">
        <f>"00037244"</f>
        <v>00037244</v>
      </c>
      <c r="B181" t="s">
        <v>21</v>
      </c>
      <c r="C181" t="s">
        <v>369</v>
      </c>
      <c r="D181" t="s">
        <v>370</v>
      </c>
      <c r="F181" t="s">
        <v>371</v>
      </c>
      <c r="G181" t="s">
        <v>383</v>
      </c>
      <c r="J181" t="s">
        <v>26</v>
      </c>
      <c r="Q181" t="s">
        <v>28</v>
      </c>
      <c r="R181" t="s">
        <v>29</v>
      </c>
      <c r="T181" t="str">
        <f t="shared" si="12"/>
        <v>2003-04-02 20:45:18.000000</v>
      </c>
      <c r="U181" t="str">
        <f t="shared" si="11"/>
        <v>003</v>
      </c>
    </row>
    <row r="182" spans="1:21">
      <c r="A182" t="str">
        <f>"00037284"</f>
        <v>00037284</v>
      </c>
      <c r="B182" t="s">
        <v>21</v>
      </c>
      <c r="C182" t="s">
        <v>61</v>
      </c>
      <c r="D182" t="s">
        <v>62</v>
      </c>
      <c r="F182" t="s">
        <v>384</v>
      </c>
      <c r="G182" t="s">
        <v>26</v>
      </c>
      <c r="J182" t="s">
        <v>26</v>
      </c>
      <c r="Q182" t="s">
        <v>28</v>
      </c>
      <c r="R182" t="s">
        <v>29</v>
      </c>
      <c r="T182" t="str">
        <f t="shared" si="12"/>
        <v>2003-04-02 20:45:18.000000</v>
      </c>
      <c r="U182" t="str">
        <f t="shared" si="11"/>
        <v>003</v>
      </c>
    </row>
    <row r="183" spans="1:21">
      <c r="A183" t="str">
        <f>"00037348"</f>
        <v>00037348</v>
      </c>
      <c r="B183" t="s">
        <v>21</v>
      </c>
      <c r="C183" t="s">
        <v>385</v>
      </c>
      <c r="D183" t="s">
        <v>386</v>
      </c>
      <c r="F183" t="s">
        <v>387</v>
      </c>
      <c r="G183" t="s">
        <v>388</v>
      </c>
      <c r="H183" t="s">
        <v>389</v>
      </c>
      <c r="J183" t="s">
        <v>26</v>
      </c>
      <c r="K183" t="str">
        <f>"9137283-4,"</f>
        <v>9137283-4,</v>
      </c>
      <c r="Q183" t="s">
        <v>28</v>
      </c>
      <c r="R183" t="s">
        <v>29</v>
      </c>
      <c r="T183" t="str">
        <f t="shared" si="12"/>
        <v>2003-04-02 20:45:18.000000</v>
      </c>
      <c r="U183" t="str">
        <f t="shared" si="11"/>
        <v>003</v>
      </c>
    </row>
    <row r="184" spans="1:21">
      <c r="A184" t="str">
        <f>"00037355"</f>
        <v>00037355</v>
      </c>
      <c r="B184" t="s">
        <v>21</v>
      </c>
      <c r="C184" t="s">
        <v>390</v>
      </c>
      <c r="F184" t="s">
        <v>391</v>
      </c>
      <c r="G184" t="s">
        <v>392</v>
      </c>
      <c r="H184" t="s">
        <v>393</v>
      </c>
      <c r="J184" t="s">
        <v>26</v>
      </c>
      <c r="K184" t="str">
        <f>"7286942"</f>
        <v>7286942</v>
      </c>
      <c r="Q184" t="s">
        <v>28</v>
      </c>
      <c r="R184" t="s">
        <v>29</v>
      </c>
      <c r="T184" t="str">
        <f t="shared" si="12"/>
        <v>2003-04-02 20:45:18.000000</v>
      </c>
      <c r="U184" t="str">
        <f t="shared" si="11"/>
        <v>003</v>
      </c>
    </row>
    <row r="185" spans="1:21">
      <c r="A185" t="str">
        <f>"00037356"</f>
        <v>00037356</v>
      </c>
      <c r="B185" t="s">
        <v>21</v>
      </c>
      <c r="C185" t="s">
        <v>390</v>
      </c>
      <c r="F185" t="s">
        <v>394</v>
      </c>
      <c r="G185" t="s">
        <v>392</v>
      </c>
      <c r="H185" t="s">
        <v>393</v>
      </c>
      <c r="J185" t="s">
        <v>26</v>
      </c>
      <c r="K185" t="str">
        <f>"7286942"</f>
        <v>7286942</v>
      </c>
      <c r="Q185" t="s">
        <v>28</v>
      </c>
      <c r="R185" t="s">
        <v>29</v>
      </c>
      <c r="T185" t="str">
        <f t="shared" si="12"/>
        <v>2003-04-02 20:45:18.000000</v>
      </c>
      <c r="U185" t="str">
        <f t="shared" si="11"/>
        <v>003</v>
      </c>
    </row>
    <row r="186" spans="1:21">
      <c r="A186" t="str">
        <f>"00037367"</f>
        <v>00037367</v>
      </c>
      <c r="B186" t="s">
        <v>21</v>
      </c>
      <c r="C186" t="s">
        <v>385</v>
      </c>
      <c r="D186" t="s">
        <v>386</v>
      </c>
      <c r="F186" t="s">
        <v>395</v>
      </c>
      <c r="G186" t="s">
        <v>396</v>
      </c>
      <c r="J186" t="s">
        <v>26</v>
      </c>
      <c r="K186" t="str">
        <f>"9137283-4,"</f>
        <v>9137283-4,</v>
      </c>
      <c r="Q186" t="s">
        <v>28</v>
      </c>
      <c r="R186" t="s">
        <v>29</v>
      </c>
      <c r="T186" t="str">
        <f t="shared" si="12"/>
        <v>2003-04-02 20:45:18.000000</v>
      </c>
      <c r="U186" t="str">
        <f t="shared" si="11"/>
        <v>003</v>
      </c>
    </row>
    <row r="187" spans="1:21">
      <c r="A187" t="str">
        <f>"00037516"</f>
        <v>00037516</v>
      </c>
      <c r="B187" t="s">
        <v>21</v>
      </c>
      <c r="C187" t="s">
        <v>397</v>
      </c>
      <c r="F187" t="s">
        <v>398</v>
      </c>
      <c r="G187" t="s">
        <v>399</v>
      </c>
      <c r="K187" t="str">
        <f>"(2ND FL),RO,OM-1,PAT"</f>
        <v>(2ND FL),RO,OM-1,PAT</v>
      </c>
      <c r="N187" t="s">
        <v>400</v>
      </c>
      <c r="Q187" t="s">
        <v>28</v>
      </c>
      <c r="R187" t="s">
        <v>29</v>
      </c>
      <c r="T187" t="str">
        <f t="shared" si="12"/>
        <v>2003-04-02 20:45:18.000000</v>
      </c>
      <c r="U187" t="str">
        <f t="shared" si="11"/>
        <v>003</v>
      </c>
    </row>
    <row r="188" spans="1:21">
      <c r="A188" t="str">
        <f>"00037517"</f>
        <v>00037517</v>
      </c>
      <c r="B188" t="s">
        <v>21</v>
      </c>
      <c r="C188" t="s">
        <v>397</v>
      </c>
      <c r="F188" t="s">
        <v>398</v>
      </c>
      <c r="G188" t="s">
        <v>401</v>
      </c>
      <c r="K188" t="str">
        <f>"(2ND FL) RO,OM-1,PAT"</f>
        <v>(2ND FL) RO,OM-1,PAT</v>
      </c>
      <c r="N188" t="s">
        <v>400</v>
      </c>
      <c r="Q188" t="s">
        <v>28</v>
      </c>
      <c r="R188" t="s">
        <v>29</v>
      </c>
      <c r="T188" t="str">
        <f t="shared" si="12"/>
        <v>2003-04-02 20:45:18.000000</v>
      </c>
      <c r="U188" t="str">
        <f t="shared" si="11"/>
        <v>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2026-02-08T11:37:12Z</dcterms:created>
  <dcterms:modified xsi:type="dcterms:W3CDTF">2026-02-08T11:37:29Z</dcterms:modified>
  <cp:category/>
  <cp:contentStatus/>
</cp:coreProperties>
</file>